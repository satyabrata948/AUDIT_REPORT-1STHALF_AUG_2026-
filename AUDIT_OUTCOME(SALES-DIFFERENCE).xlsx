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REPORT_AUG" sheetId="1" r:id="rId1"/>
    <sheet name="PSR" sheetId="2" r:id="rId2"/>
    <sheet name="Sheet3" sheetId="3" state="hidden" r:id="rId3"/>
    <sheet name="Sheet4" sheetId="4" state="hidden" r:id="rId4"/>
    <sheet name="11-12_AUG" sheetId="6" r:id="rId5"/>
  </sheets>
  <externalReferences>
    <externalReference r:id="rId6"/>
  </externalReferences>
  <definedNames>
    <definedName name="_xlnm._FilterDatabase" localSheetId="4" hidden="1">'11-12_AUG'!$B$1:$E$97</definedName>
    <definedName name="_xlnm._FilterDatabase" localSheetId="1" hidden="1">PSR!$A$1:$I$447</definedName>
    <definedName name="_xlnm._FilterDatabase" localSheetId="2" hidden="1">Sheet3!$A$2:$D$99</definedName>
  </definedNames>
  <calcPr calcId="144525"/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2" i="6"/>
  <c r="H57" i="3"/>
  <c r="H46" i="3"/>
  <c r="H30" i="3"/>
  <c r="A93" i="3"/>
  <c r="D93" i="3" s="1"/>
  <c r="A97" i="3"/>
  <c r="D97" i="3" s="1"/>
  <c r="A4" i="3"/>
  <c r="D4" i="3" s="1"/>
  <c r="A5" i="3"/>
  <c r="D5" i="3" s="1"/>
  <c r="A6" i="3"/>
  <c r="D6" i="3" s="1"/>
  <c r="A7" i="3"/>
  <c r="D7" i="3" s="1"/>
  <c r="A8" i="3"/>
  <c r="D8" i="3" s="1"/>
  <c r="A9" i="3"/>
  <c r="D9" i="3" s="1"/>
  <c r="A10" i="3"/>
  <c r="D10" i="3" s="1"/>
  <c r="A11" i="3"/>
  <c r="D11" i="3" s="1"/>
  <c r="A12" i="3"/>
  <c r="D12" i="3" s="1"/>
  <c r="A13" i="3"/>
  <c r="D13" i="3" s="1"/>
  <c r="A14" i="3"/>
  <c r="D14" i="3" s="1"/>
  <c r="A15" i="3"/>
  <c r="D15" i="3" s="1"/>
  <c r="A16" i="3"/>
  <c r="D16" i="3" s="1"/>
  <c r="A17" i="3"/>
  <c r="D17" i="3" s="1"/>
  <c r="A18" i="3"/>
  <c r="D18" i="3" s="1"/>
  <c r="A19" i="3"/>
  <c r="D19" i="3" s="1"/>
  <c r="A20" i="3"/>
  <c r="D20" i="3" s="1"/>
  <c r="A21" i="3"/>
  <c r="D21" i="3" s="1"/>
  <c r="A22" i="3"/>
  <c r="D22" i="3" s="1"/>
  <c r="A23" i="3"/>
  <c r="D23" i="3" s="1"/>
  <c r="A24" i="3"/>
  <c r="D24" i="3" s="1"/>
  <c r="A25" i="3"/>
  <c r="D25" i="3" s="1"/>
  <c r="A26" i="3"/>
  <c r="D26" i="3" s="1"/>
  <c r="A27" i="3"/>
  <c r="D27" i="3" s="1"/>
  <c r="A28" i="3"/>
  <c r="D28" i="3" s="1"/>
  <c r="A29" i="3"/>
  <c r="D29" i="3" s="1"/>
  <c r="A31" i="3"/>
  <c r="D31" i="3" s="1"/>
  <c r="A32" i="3"/>
  <c r="D32" i="3" s="1"/>
  <c r="A33" i="3"/>
  <c r="A34" i="3"/>
  <c r="A35" i="3"/>
  <c r="D35" i="3" s="1"/>
  <c r="A36" i="3"/>
  <c r="D36" i="3" s="1"/>
  <c r="A37" i="3"/>
  <c r="A38" i="3"/>
  <c r="A39" i="3"/>
  <c r="D39" i="3" s="1"/>
  <c r="A40" i="3"/>
  <c r="D40" i="3" s="1"/>
  <c r="A41" i="3"/>
  <c r="A42" i="3"/>
  <c r="A43" i="3"/>
  <c r="D43" i="3" s="1"/>
  <c r="A44" i="3"/>
  <c r="D44" i="3" s="1"/>
  <c r="A45" i="3"/>
  <c r="A47" i="3"/>
  <c r="D47" i="3" s="1"/>
  <c r="A48" i="3"/>
  <c r="D48" i="3" s="1"/>
  <c r="A49" i="3"/>
  <c r="A50" i="3"/>
  <c r="A51" i="3"/>
  <c r="D51" i="3" s="1"/>
  <c r="A52" i="3"/>
  <c r="D52" i="3" s="1"/>
  <c r="A53" i="3"/>
  <c r="A54" i="3"/>
  <c r="A55" i="3"/>
  <c r="D55" i="3" s="1"/>
  <c r="A56" i="3"/>
  <c r="D56" i="3" s="1"/>
  <c r="A58" i="3"/>
  <c r="A59" i="3"/>
  <c r="D59" i="3" s="1"/>
  <c r="A60" i="3"/>
  <c r="D60" i="3" s="1"/>
  <c r="A61" i="3"/>
  <c r="A62" i="3"/>
  <c r="A63" i="3"/>
  <c r="D63" i="3" s="1"/>
  <c r="A64" i="3"/>
  <c r="D64" i="3" s="1"/>
  <c r="A65" i="3"/>
  <c r="A66" i="3"/>
  <c r="A67" i="3"/>
  <c r="D67" i="3" s="1"/>
  <c r="A68" i="3"/>
  <c r="D68" i="3" s="1"/>
  <c r="A69" i="3"/>
  <c r="A70" i="3"/>
  <c r="A71" i="3"/>
  <c r="D71" i="3" s="1"/>
  <c r="A72" i="3"/>
  <c r="D72" i="3" s="1"/>
  <c r="A73" i="3"/>
  <c r="A74" i="3"/>
  <c r="A75" i="3"/>
  <c r="D75" i="3" s="1"/>
  <c r="A76" i="3"/>
  <c r="D76" i="3" s="1"/>
  <c r="A77" i="3"/>
  <c r="A78" i="3"/>
  <c r="A79" i="3"/>
  <c r="D79" i="3" s="1"/>
  <c r="A80" i="3"/>
  <c r="D80" i="3" s="1"/>
  <c r="A81" i="3"/>
  <c r="A82" i="3"/>
  <c r="A83" i="3"/>
  <c r="D83" i="3" s="1"/>
  <c r="A84" i="3"/>
  <c r="D84" i="3" s="1"/>
  <c r="A85" i="3"/>
  <c r="A86" i="3"/>
  <c r="A87" i="3"/>
  <c r="D87" i="3" s="1"/>
  <c r="A88" i="3"/>
  <c r="D88" i="3" s="1"/>
  <c r="A89" i="3"/>
  <c r="A90" i="3"/>
  <c r="A91" i="3"/>
  <c r="D91" i="3" s="1"/>
  <c r="A92" i="3"/>
  <c r="D92" i="3" s="1"/>
  <c r="A94" i="3"/>
  <c r="A95" i="3"/>
  <c r="A96" i="3"/>
  <c r="D96" i="3" s="1"/>
  <c r="A98" i="3"/>
  <c r="D98" i="3" s="1"/>
  <c r="A99" i="3"/>
  <c r="D99" i="3" s="1"/>
  <c r="A3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4" i="3"/>
  <c r="H25" i="3"/>
  <c r="H26" i="3"/>
  <c r="H27" i="3"/>
  <c r="H28" i="3"/>
  <c r="H29" i="3"/>
  <c r="H31" i="3"/>
  <c r="H32" i="3"/>
  <c r="H33" i="3"/>
  <c r="H34" i="3"/>
  <c r="H35" i="3"/>
  <c r="H36" i="3"/>
  <c r="H37" i="3"/>
  <c r="H38" i="3"/>
  <c r="H39" i="3"/>
  <c r="H40" i="3"/>
  <c r="H41" i="3"/>
  <c r="H43" i="3"/>
  <c r="H45" i="3"/>
  <c r="H47" i="3"/>
  <c r="H48" i="3"/>
  <c r="H49" i="3"/>
  <c r="H50" i="3"/>
  <c r="H51" i="3"/>
  <c r="H52" i="3"/>
  <c r="H53" i="3"/>
  <c r="H54" i="3"/>
  <c r="H55" i="3"/>
  <c r="H56" i="3"/>
  <c r="H58" i="3"/>
  <c r="H59" i="3"/>
  <c r="H60" i="3"/>
  <c r="H61" i="3"/>
  <c r="H62" i="3"/>
  <c r="H63" i="3"/>
  <c r="H64" i="3"/>
  <c r="H65" i="3"/>
  <c r="H66" i="3"/>
  <c r="H67" i="3"/>
  <c r="H68" i="3"/>
  <c r="H69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2" i="3"/>
  <c r="K46" i="3" l="1"/>
  <c r="L46" i="3" s="1"/>
  <c r="M46" i="3" s="1"/>
  <c r="K57" i="3"/>
  <c r="L57" i="3" s="1"/>
  <c r="M57" i="3" s="1"/>
  <c r="K94" i="3"/>
  <c r="L94" i="3" s="1"/>
  <c r="M94" i="3" s="1"/>
  <c r="D95" i="3"/>
  <c r="D90" i="3"/>
  <c r="D86" i="3"/>
  <c r="D82" i="3"/>
  <c r="D78" i="3"/>
  <c r="D74" i="3"/>
  <c r="D70" i="3"/>
  <c r="D66" i="3"/>
  <c r="D62" i="3"/>
  <c r="K31" i="3" s="1"/>
  <c r="L31" i="3" s="1"/>
  <c r="M31" i="3" s="1"/>
  <c r="D58" i="3"/>
  <c r="D54" i="3"/>
  <c r="D50" i="3"/>
  <c r="D42" i="3"/>
  <c r="K80" i="3" s="1"/>
  <c r="L80" i="3" s="1"/>
  <c r="M80" i="3" s="1"/>
  <c r="D38" i="3"/>
  <c r="D34" i="3"/>
  <c r="D94" i="3"/>
  <c r="D89" i="3"/>
  <c r="D85" i="3"/>
  <c r="D81" i="3"/>
  <c r="D77" i="3"/>
  <c r="D73" i="3"/>
  <c r="K7" i="3" s="1"/>
  <c r="L7" i="3" s="1"/>
  <c r="M7" i="3" s="1"/>
  <c r="D69" i="3"/>
  <c r="D65" i="3"/>
  <c r="D61" i="3"/>
  <c r="K30" i="3" s="1"/>
  <c r="L30" i="3" s="1"/>
  <c r="M30" i="3" s="1"/>
  <c r="D53" i="3"/>
  <c r="D49" i="3"/>
  <c r="D45" i="3"/>
  <c r="K39" i="3" s="1"/>
  <c r="L39" i="3" s="1"/>
  <c r="M39" i="3" s="1"/>
  <c r="D41" i="3"/>
  <c r="D37" i="3"/>
  <c r="K70" i="3" s="1"/>
  <c r="L70" i="3" s="1"/>
  <c r="M70" i="3" s="1"/>
  <c r="D33" i="3"/>
  <c r="K98" i="3"/>
  <c r="L98" i="3" s="1"/>
  <c r="M98" i="3" s="1"/>
  <c r="K74" i="3"/>
  <c r="L74" i="3" s="1"/>
  <c r="M74" i="3" s="1"/>
  <c r="K53" i="3"/>
  <c r="L53" i="3" s="1"/>
  <c r="M53" i="3" s="1"/>
  <c r="D3" i="3"/>
  <c r="K78" i="3"/>
  <c r="L78" i="3" s="1"/>
  <c r="M78" i="3" s="1"/>
  <c r="K69" i="3"/>
  <c r="L69" i="3" s="1"/>
  <c r="M69" i="3" s="1"/>
  <c r="K90" i="3"/>
  <c r="L90" i="3" s="1"/>
  <c r="M90" i="3" s="1"/>
  <c r="K86" i="3"/>
  <c r="L86" i="3" s="1"/>
  <c r="M86" i="3" s="1"/>
  <c r="K82" i="3"/>
  <c r="L82" i="3" s="1"/>
  <c r="M82" i="3" s="1"/>
  <c r="K65" i="3"/>
  <c r="L65" i="3" s="1"/>
  <c r="M65" i="3" s="1"/>
  <c r="K61" i="3"/>
  <c r="L61" i="3" s="1"/>
  <c r="M61" i="3" s="1"/>
  <c r="K49" i="3"/>
  <c r="L49" i="3" s="1"/>
  <c r="M49" i="3" s="1"/>
  <c r="K45" i="3"/>
  <c r="L45" i="3" s="1"/>
  <c r="M45" i="3" s="1"/>
  <c r="K35" i="3"/>
  <c r="L35" i="3" s="1"/>
  <c r="M35" i="3" s="1"/>
  <c r="K27" i="3"/>
  <c r="L27" i="3" s="1"/>
  <c r="M27" i="3" s="1"/>
  <c r="K18" i="3"/>
  <c r="L18" i="3" s="1"/>
  <c r="M18" i="3" s="1"/>
  <c r="K22" i="3"/>
  <c r="L22" i="3" s="1"/>
  <c r="M22" i="3" s="1"/>
  <c r="K92" i="3"/>
  <c r="L92" i="3" s="1"/>
  <c r="M92" i="3" s="1"/>
  <c r="K84" i="3"/>
  <c r="L84" i="3" s="1"/>
  <c r="M84" i="3" s="1"/>
  <c r="K72" i="3"/>
  <c r="L72" i="3" s="1"/>
  <c r="M72" i="3" s="1"/>
  <c r="K63" i="3"/>
  <c r="L63" i="3" s="1"/>
  <c r="M63" i="3" s="1"/>
  <c r="K55" i="3"/>
  <c r="L55" i="3" s="1"/>
  <c r="M55" i="3" s="1"/>
  <c r="K37" i="3"/>
  <c r="L37" i="3" s="1"/>
  <c r="M37" i="3" s="1"/>
  <c r="K29" i="3"/>
  <c r="L29" i="3" s="1"/>
  <c r="M29" i="3" s="1"/>
  <c r="K20" i="3"/>
  <c r="L20" i="3" s="1"/>
  <c r="M20" i="3" s="1"/>
  <c r="K16" i="3"/>
  <c r="L16" i="3" s="1"/>
  <c r="M16" i="3" s="1"/>
  <c r="K96" i="3"/>
  <c r="L96" i="3" s="1"/>
  <c r="M96" i="3" s="1"/>
  <c r="K88" i="3"/>
  <c r="L88" i="3" s="1"/>
  <c r="M88" i="3" s="1"/>
  <c r="K76" i="3"/>
  <c r="L76" i="3" s="1"/>
  <c r="M76" i="3" s="1"/>
  <c r="K67" i="3"/>
  <c r="L67" i="3" s="1"/>
  <c r="M67" i="3" s="1"/>
  <c r="K59" i="3"/>
  <c r="L59" i="3" s="1"/>
  <c r="M59" i="3" s="1"/>
  <c r="K51" i="3"/>
  <c r="L51" i="3" s="1"/>
  <c r="M51" i="3" s="1"/>
  <c r="K41" i="3"/>
  <c r="L41" i="3" s="1"/>
  <c r="M41" i="3" s="1"/>
  <c r="K33" i="3"/>
  <c r="L33" i="3" s="1"/>
  <c r="M33" i="3" s="1"/>
  <c r="K25" i="3"/>
  <c r="L25" i="3" s="1"/>
  <c r="M25" i="3" s="1"/>
  <c r="K12" i="3"/>
  <c r="L12" i="3" s="1"/>
  <c r="M12" i="3" s="1"/>
  <c r="K2" i="3"/>
  <c r="L2" i="3" s="1"/>
  <c r="M2" i="3" s="1"/>
  <c r="K93" i="3"/>
  <c r="L93" i="3" s="1"/>
  <c r="M93" i="3" s="1"/>
  <c r="K89" i="3"/>
  <c r="L89" i="3" s="1"/>
  <c r="M89" i="3" s="1"/>
  <c r="K85" i="3"/>
  <c r="L85" i="3" s="1"/>
  <c r="M85" i="3" s="1"/>
  <c r="K81" i="3"/>
  <c r="L81" i="3" s="1"/>
  <c r="M81" i="3" s="1"/>
  <c r="K77" i="3"/>
  <c r="L77" i="3" s="1"/>
  <c r="M77" i="3" s="1"/>
  <c r="K73" i="3"/>
  <c r="L73" i="3" s="1"/>
  <c r="M73" i="3" s="1"/>
  <c r="K68" i="3"/>
  <c r="L68" i="3" s="1"/>
  <c r="M68" i="3" s="1"/>
  <c r="K64" i="3"/>
  <c r="L64" i="3" s="1"/>
  <c r="M64" i="3" s="1"/>
  <c r="K60" i="3"/>
  <c r="L60" i="3" s="1"/>
  <c r="M60" i="3" s="1"/>
  <c r="K56" i="3"/>
  <c r="L56" i="3" s="1"/>
  <c r="M56" i="3" s="1"/>
  <c r="K52" i="3"/>
  <c r="L52" i="3" s="1"/>
  <c r="M52" i="3" s="1"/>
  <c r="K48" i="3"/>
  <c r="L48" i="3" s="1"/>
  <c r="M48" i="3" s="1"/>
  <c r="K43" i="3"/>
  <c r="L43" i="3" s="1"/>
  <c r="M43" i="3" s="1"/>
  <c r="K38" i="3"/>
  <c r="L38" i="3" s="1"/>
  <c r="M38" i="3" s="1"/>
  <c r="K34" i="3"/>
  <c r="L34" i="3" s="1"/>
  <c r="M34" i="3" s="1"/>
  <c r="K26" i="3"/>
  <c r="L26" i="3" s="1"/>
  <c r="M26" i="3" s="1"/>
  <c r="K21" i="3"/>
  <c r="L21" i="3" s="1"/>
  <c r="M21" i="3" s="1"/>
  <c r="K17" i="3"/>
  <c r="L17" i="3" s="1"/>
  <c r="M17" i="3" s="1"/>
  <c r="K13" i="3"/>
  <c r="L13" i="3" s="1"/>
  <c r="M13" i="3" s="1"/>
  <c r="K9" i="3"/>
  <c r="L9" i="3" s="1"/>
  <c r="M9" i="3" s="1"/>
  <c r="K5" i="3"/>
  <c r="L5" i="3" s="1"/>
  <c r="M5" i="3" s="1"/>
  <c r="K8" i="3"/>
  <c r="L8" i="3" s="1"/>
  <c r="M8" i="3" s="1"/>
  <c r="K99" i="3"/>
  <c r="L99" i="3" s="1"/>
  <c r="M99" i="3" s="1"/>
  <c r="K95" i="3"/>
  <c r="L95" i="3" s="1"/>
  <c r="M95" i="3" s="1"/>
  <c r="K91" i="3"/>
  <c r="L91" i="3" s="1"/>
  <c r="M91" i="3" s="1"/>
  <c r="K87" i="3"/>
  <c r="L87" i="3" s="1"/>
  <c r="M87" i="3" s="1"/>
  <c r="K83" i="3"/>
  <c r="L83" i="3" s="1"/>
  <c r="M83" i="3" s="1"/>
  <c r="K79" i="3"/>
  <c r="L79" i="3" s="1"/>
  <c r="M79" i="3" s="1"/>
  <c r="K71" i="3"/>
  <c r="L71" i="3" s="1"/>
  <c r="M71" i="3" s="1"/>
  <c r="K66" i="3"/>
  <c r="L66" i="3" s="1"/>
  <c r="M66" i="3" s="1"/>
  <c r="K62" i="3"/>
  <c r="L62" i="3" s="1"/>
  <c r="M62" i="3" s="1"/>
  <c r="K58" i="3"/>
  <c r="L58" i="3" s="1"/>
  <c r="M58" i="3" s="1"/>
  <c r="K54" i="3"/>
  <c r="L54" i="3" s="1"/>
  <c r="M54" i="3" s="1"/>
  <c r="K50" i="3"/>
  <c r="L50" i="3" s="1"/>
  <c r="M50" i="3" s="1"/>
  <c r="K40" i="3"/>
  <c r="L40" i="3" s="1"/>
  <c r="M40" i="3" s="1"/>
  <c r="K36" i="3"/>
  <c r="L36" i="3" s="1"/>
  <c r="M36" i="3" s="1"/>
  <c r="K32" i="3"/>
  <c r="L32" i="3" s="1"/>
  <c r="M32" i="3" s="1"/>
  <c r="K24" i="3"/>
  <c r="L24" i="3" s="1"/>
  <c r="M24" i="3" s="1"/>
  <c r="K19" i="3"/>
  <c r="L19" i="3" s="1"/>
  <c r="M19" i="3" s="1"/>
  <c r="K15" i="3"/>
  <c r="L15" i="3" s="1"/>
  <c r="M15" i="3" s="1"/>
  <c r="K4" i="3"/>
  <c r="L4" i="3" s="1"/>
  <c r="M4" i="3" s="1"/>
  <c r="K11" i="3"/>
  <c r="L11" i="3" s="1"/>
  <c r="M11" i="3" s="1"/>
  <c r="K3" i="3"/>
  <c r="L3" i="3" s="1"/>
  <c r="M3" i="3" s="1"/>
  <c r="K10" i="3"/>
  <c r="L10" i="3" s="1"/>
  <c r="M10" i="3" s="1"/>
  <c r="K6" i="3"/>
  <c r="L6" i="3" s="1"/>
  <c r="M6" i="3" s="1"/>
  <c r="K42" i="3"/>
  <c r="L42" i="3" s="1"/>
  <c r="M42" i="3" s="1"/>
  <c r="K44" i="3"/>
  <c r="L44" i="3" s="1"/>
  <c r="M44" i="3" s="1"/>
  <c r="K23" i="3"/>
  <c r="L23" i="3" s="1"/>
  <c r="M23" i="3" s="1"/>
  <c r="K97" i="3" l="1"/>
  <c r="L97" i="3" s="1"/>
  <c r="M97" i="3" s="1"/>
  <c r="K47" i="3"/>
  <c r="L47" i="3" s="1"/>
  <c r="M47" i="3" s="1"/>
  <c r="K14" i="3"/>
  <c r="L14" i="3" s="1"/>
  <c r="M14" i="3" s="1"/>
  <c r="K28" i="3"/>
  <c r="L28" i="3" s="1"/>
  <c r="M28" i="3" s="1"/>
  <c r="K75" i="3"/>
  <c r="L75" i="3" s="1"/>
  <c r="M75" i="3" s="1"/>
  <c r="K100" i="3"/>
  <c r="L100" i="3" s="1"/>
  <c r="M100" i="3" s="1"/>
  <c r="N2" i="4" l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1" i="4"/>
</calcChain>
</file>

<file path=xl/comments1.xml><?xml version="1.0" encoding="utf-8"?>
<comments xmlns="http://schemas.openxmlformats.org/spreadsheetml/2006/main">
  <authors>
    <author>USER</author>
  </authors>
  <commentList>
    <comment ref="S2" authorId="0">
      <text>
        <r>
          <rPr>
            <b/>
            <sz val="9"/>
            <color indexed="81"/>
            <rFont val="Tahoma"/>
            <family val="2"/>
          </rPr>
          <t>SATYA:</t>
        </r>
        <r>
          <rPr>
            <sz val="9"/>
            <color indexed="81"/>
            <rFont val="Tahoma"/>
            <family val="2"/>
          </rPr>
          <t xml:space="preserve">
MISTAKE_IN_11-12AUG
</t>
        </r>
      </text>
    </comment>
    <comment ref="T2" authorId="0">
      <text>
        <r>
          <rPr>
            <b/>
            <sz val="9"/>
            <color indexed="81"/>
            <rFont val="Tahoma"/>
            <family val="2"/>
          </rPr>
          <t>SATYA:</t>
        </r>
        <r>
          <rPr>
            <sz val="9"/>
            <color indexed="81"/>
            <rFont val="Tahoma"/>
            <family val="2"/>
          </rPr>
          <t xml:space="preserve">
ENTRY_MISTAKE
</t>
        </r>
      </text>
    </comment>
  </commentList>
</comments>
</file>

<file path=xl/sharedStrings.xml><?xml version="1.0" encoding="utf-8"?>
<sst xmlns="http://schemas.openxmlformats.org/spreadsheetml/2006/main" count="3188" uniqueCount="415">
  <si>
    <t>Meesho August'2026</t>
  </si>
  <si>
    <t>Date</t>
  </si>
  <si>
    <t>Tracking ID Qty</t>
  </si>
  <si>
    <t>Picklist Qty</t>
  </si>
  <si>
    <t>Picklist Value</t>
  </si>
  <si>
    <t>Dispatch Packet</t>
  </si>
  <si>
    <t>Dispatch %</t>
  </si>
  <si>
    <t>Disp Tracking QTY</t>
  </si>
  <si>
    <t>T ID Cancel Qty.Packet</t>
  </si>
  <si>
    <t>Balance  Qty.</t>
  </si>
  <si>
    <t>Final Disp Qty</t>
  </si>
  <si>
    <t>Cancel QTY Pcs</t>
  </si>
  <si>
    <t>Packet/Person</t>
  </si>
  <si>
    <t>Return From Delivery Qty</t>
  </si>
  <si>
    <t>Return%</t>
  </si>
  <si>
    <t>Diff.Despatch Qty</t>
  </si>
  <si>
    <t>Diff.Sales Qty</t>
  </si>
  <si>
    <t xml:space="preserve"> Sale Value Invoice</t>
  </si>
  <si>
    <t>Invoice Qty</t>
  </si>
  <si>
    <t>System Return Value</t>
  </si>
  <si>
    <t>Sys. Return Qty.</t>
  </si>
  <si>
    <t>Final Sys. Sale Value</t>
  </si>
  <si>
    <t>Return % Value</t>
  </si>
  <si>
    <t>Return Damage Qty.</t>
  </si>
  <si>
    <t>Return Damage Other Qty.</t>
  </si>
  <si>
    <t>Total Qty</t>
  </si>
  <si>
    <t>Return Damage Value</t>
  </si>
  <si>
    <t>Damage%</t>
  </si>
  <si>
    <t>Inventory Value</t>
  </si>
  <si>
    <t>Inventory Days</t>
  </si>
  <si>
    <t>Total Packer</t>
  </si>
  <si>
    <t>OM Associates</t>
  </si>
  <si>
    <t>Agency</t>
  </si>
  <si>
    <t>Daily Hire</t>
  </si>
  <si>
    <t>Sanat Kumar Jana</t>
  </si>
  <si>
    <t>Sushil Kumar Das</t>
  </si>
  <si>
    <t>Satya Brata Mallik</t>
  </si>
  <si>
    <t>Dillip Kumar Moharana</t>
  </si>
  <si>
    <t>Sambit Sahoo</t>
  </si>
  <si>
    <t>Sujit Kumar Bhoi</t>
  </si>
  <si>
    <t>Pradip Kumar Swain</t>
  </si>
  <si>
    <t>Manoj Chhualsingh</t>
  </si>
  <si>
    <t>Sudarsana Sahoo</t>
  </si>
  <si>
    <t>Subrat Sahoo</t>
  </si>
  <si>
    <t>Bikas</t>
  </si>
  <si>
    <t>Pruthwiraj Behera</t>
  </si>
  <si>
    <t>Somanatha Behera</t>
  </si>
  <si>
    <t>01..08.2026</t>
  </si>
  <si>
    <t>P</t>
  </si>
  <si>
    <t>A</t>
  </si>
  <si>
    <t>02..08.2026</t>
  </si>
  <si>
    <t>03..08.2026</t>
  </si>
  <si>
    <t>04..08.2026</t>
  </si>
  <si>
    <t>05..08.2026</t>
  </si>
  <si>
    <t>06..08.2026</t>
  </si>
  <si>
    <t>07..08.2026</t>
  </si>
  <si>
    <t>08..08.2026</t>
  </si>
  <si>
    <t>09.08.2026</t>
  </si>
  <si>
    <t>10..08.2026</t>
  </si>
  <si>
    <t>11..08.2026</t>
  </si>
  <si>
    <t>12..08.2026</t>
  </si>
  <si>
    <t>13..08.2026</t>
  </si>
  <si>
    <t>14..08.2026</t>
  </si>
  <si>
    <t>L</t>
  </si>
  <si>
    <t>15..08.2026</t>
  </si>
  <si>
    <t>16..08.2026</t>
  </si>
  <si>
    <t>17..08.2026</t>
  </si>
  <si>
    <t>18..08.2026</t>
  </si>
  <si>
    <t>19..08.2026</t>
  </si>
  <si>
    <t>20..08.2026</t>
  </si>
  <si>
    <t>21..08.2026</t>
  </si>
  <si>
    <t>22..08.2026</t>
  </si>
  <si>
    <t>23..08.2026</t>
  </si>
  <si>
    <t>24..08.2026</t>
  </si>
  <si>
    <t>25..08.2026</t>
  </si>
  <si>
    <t>26..08.2026</t>
  </si>
  <si>
    <t>27..08.2026</t>
  </si>
  <si>
    <t>28..08.2026</t>
  </si>
  <si>
    <t>29..08.2026</t>
  </si>
  <si>
    <t>30..08.2026</t>
  </si>
  <si>
    <t>31..08.2026</t>
  </si>
  <si>
    <t>Total</t>
  </si>
  <si>
    <t>Courior</t>
  </si>
  <si>
    <t>Tracking</t>
  </si>
  <si>
    <t>P Quantity</t>
  </si>
  <si>
    <t>Value</t>
  </si>
  <si>
    <t>Cancel Qty</t>
  </si>
  <si>
    <t>Cancel Trc Qty</t>
  </si>
  <si>
    <t>Dispatch</t>
  </si>
  <si>
    <t xml:space="preserve">DELHIVERY </t>
  </si>
  <si>
    <t xml:space="preserve">SHADOWFAX   </t>
  </si>
  <si>
    <t>Valmo</t>
  </si>
  <si>
    <t>document_no</t>
  </si>
  <si>
    <t>apply_to_doc</t>
  </si>
  <si>
    <t>document_date</t>
  </si>
  <si>
    <t>apply_to_doc_date</t>
  </si>
  <si>
    <t>transaction_type</t>
  </si>
  <si>
    <t>subbrandform_name</t>
  </si>
  <si>
    <t>prod_name</t>
  </si>
  <si>
    <t>pcode</t>
  </si>
  <si>
    <t>quantity</t>
  </si>
  <si>
    <t>OMNIR-26-I000211</t>
  </si>
  <si>
    <t>Sales Invoice</t>
  </si>
  <si>
    <t>Simply Venus 3s Disp</t>
  </si>
  <si>
    <t>SV3 1s Pouch 1X192 INR 99</t>
  </si>
  <si>
    <t>Venus Breeze Cart 2s</t>
  </si>
  <si>
    <t>VENUS CG3 CART 2S 1X10X4 INR 475</t>
  </si>
  <si>
    <t>OMNIR-26-I000212</t>
  </si>
  <si>
    <t>Venus Cart 2s</t>
  </si>
  <si>
    <t>VENUS SMOOTH CART 2S 1X6X4 INR 375</t>
  </si>
  <si>
    <t>VENUS BIKINI SENSITIVE 1S</t>
  </si>
  <si>
    <t>SUSINI 1S 1X6X8 INR 175</t>
  </si>
  <si>
    <t>Venus Skin Love 1s</t>
  </si>
  <si>
    <t>VENUS SKINLV SENS 1CT 1X12X6 INR 175</t>
  </si>
  <si>
    <t>Venus Breeze Razor</t>
  </si>
  <si>
    <t>VENUS CG3 RAZOR 1X18 INR 375</t>
  </si>
  <si>
    <t>Venus Razor</t>
  </si>
  <si>
    <t>VENUS SMOOTH RAZOR 1X18 INR 325</t>
  </si>
  <si>
    <t>Venus Snap 1UP</t>
  </si>
  <si>
    <t>VENUS SNAP RAZOR 1X24 INR 425</t>
  </si>
  <si>
    <t>Guard 3in1 Cart 2s</t>
  </si>
  <si>
    <t>GUARD 3IN1 690 CT2 1X12X6 INR 99</t>
  </si>
  <si>
    <t>Guard R+8 Promo Pack</t>
  </si>
  <si>
    <t>GUARD R+8CT 1X12X10 133 INR</t>
  </si>
  <si>
    <t>Mach 3 Cart 2s</t>
  </si>
  <si>
    <t>MACH3 PPH CART 2S 1X6X12 INR 349</t>
  </si>
  <si>
    <t>Mach-3 Charcoal Rzr</t>
  </si>
  <si>
    <t>MACH3 CHAR RAZ1UP F1 1X6X6 349 INR</t>
  </si>
  <si>
    <t>Vector 2s</t>
  </si>
  <si>
    <t>VEC+ CRT2 PSHBT 1X50X12 INR 99</t>
  </si>
  <si>
    <t>Vector Rzr</t>
  </si>
  <si>
    <t>VEC+ ELHDL PSHBT GREY 1X12X12 INR 105</t>
  </si>
  <si>
    <t>Vector3 Rzr</t>
  </si>
  <si>
    <t>VEC3 ELHDL 1UP PSHBT 1X6X5 INR175</t>
  </si>
  <si>
    <t>OB CAVDEF NEEM SFT4</t>
  </si>
  <si>
    <t>OB 123 NEEM 40S BCD 120 INR 4X6X8__</t>
  </si>
  <si>
    <t>OB CAPH Power brush Sft</t>
  </si>
  <si>
    <t>B1010 IN CR WT CLS PTHBR INR 649</t>
  </si>
  <si>
    <t>AS SPLSH (RB) 50ML</t>
  </si>
  <si>
    <t>SPLASH REFRESH BREEZ 50ML 1X12 INR 349</t>
  </si>
  <si>
    <t>Fat Foamy (Reg) 300gm</t>
  </si>
  <si>
    <t>FMY FM SHVP 418G REG 1X12 INR 290</t>
  </si>
  <si>
    <t>Fat Foamy (Sen) 300gm</t>
  </si>
  <si>
    <t>FMY FM SHVP 418G SENS 1X12 INR 290</t>
  </si>
  <si>
    <t>Foam (Charcoal) 200ml</t>
  </si>
  <si>
    <t>GIL FM SHVP 196 G CHAR 1X24 INR 270</t>
  </si>
  <si>
    <t>Foam (Lmn) 200ml</t>
  </si>
  <si>
    <t>GIL FM SHVP 196 G LMNL 1X24 INR 270</t>
  </si>
  <si>
    <t>Foam (Reg) 50gm</t>
  </si>
  <si>
    <t>FMY FM SHVP 50 G REG 1X48 INR 95</t>
  </si>
  <si>
    <t>Cream GIL Reg 93gm</t>
  </si>
  <si>
    <t>GIL REGULAR SHV CRM 70G 1X96 80INR</t>
  </si>
  <si>
    <t>Guard Cream 125 gm</t>
  </si>
  <si>
    <t>GUARD CREAM 125G 1X72 INR62</t>
  </si>
  <si>
    <t>whspr Choice ON XXL 6s</t>
  </si>
  <si>
    <t>WHI CHOICE NGTS T5 6X64 (55) SCENT</t>
  </si>
  <si>
    <t>whspr Choice Wings 6s</t>
  </si>
  <si>
    <t>WHSPR CHOICE T1 RG WGS 6X126 (40)</t>
  </si>
  <si>
    <t>WHSPR CHOICE T1 RG+ WINGS 6X120 (40)</t>
  </si>
  <si>
    <t>whspr Choice Ultra 6s</t>
  </si>
  <si>
    <t>WHP CHOICE ULT S3 EJ 6X112 (50) SCENT</t>
  </si>
  <si>
    <t>whspr Choice XL 6s</t>
  </si>
  <si>
    <t>WHSPR CHOICE T3 6X120 (45) PINHOLE</t>
  </si>
  <si>
    <t>Whspr ON Koala Pants L-XL 6s</t>
  </si>
  <si>
    <t>WHISPER PERIOD PANTS L/XL 6CTX18 CI</t>
  </si>
  <si>
    <t>Whspr ON Koala Pants M-L 6s</t>
  </si>
  <si>
    <t>WHISPER PERIOD PANTS M/L 6CTX18 CI</t>
  </si>
  <si>
    <t>whspr Ult ON XXL+ 6s</t>
  </si>
  <si>
    <t>WHSPR ULT NGT XXL+ S7AB 6X54 (150) MD</t>
  </si>
  <si>
    <t>whspr Ult XXXL ON 4s</t>
  </si>
  <si>
    <t>WHP ULT NGT XXXL T9 4X36 (150) PU INDIA</t>
  </si>
  <si>
    <t>whspr Maxi Rg 15s</t>
  </si>
  <si>
    <t>WHSPR T2 MAXI FIT REG NWGS 15X45 (220)</t>
  </si>
  <si>
    <t>whspr Ultra XL+ 7s CFC</t>
  </si>
  <si>
    <t>WHSPR ULT LCC+ XL+ WGS 7X64</t>
  </si>
  <si>
    <t>whspr Ult ON XXL 7s</t>
  </si>
  <si>
    <t>WHSPR ULT BIN NGT XXL 7X48 (115) PU__</t>
  </si>
  <si>
    <t>BabyRub 25 ml</t>
  </si>
  <si>
    <t>VICKS BABYRUB 25MLX9X24 JAR INR117</t>
  </si>
  <si>
    <t>Vaporub 25gm</t>
  </si>
  <si>
    <t>VICKS VAPORUB CL 25 MLX24X16 RS109</t>
  </si>
  <si>
    <t>ATOM ORIGINAL 150ML</t>
  </si>
  <si>
    <t>OS ASL ATOMIZER ORIG 150MLX24 S3_RS349</t>
  </si>
  <si>
    <t>AmbPr Air LB</t>
  </si>
  <si>
    <t>AMBI LEGO AIR SPRAY 275mlX6 LB</t>
  </si>
  <si>
    <t>Active Baby NB Econ</t>
  </si>
  <si>
    <t>PAMPERS DPR M5 NB24SX18 ECON GS PU IN</t>
  </si>
  <si>
    <t>Active Baby SM Econ</t>
  </si>
  <si>
    <t>PAMPERS DPR M5 SM22SX18 ECON GS IN</t>
  </si>
  <si>
    <t>RED Pants Jumbo New LG</t>
  </si>
  <si>
    <t>PAMPERS PANTS DL2 LG42SX6 JP KN NM IN</t>
  </si>
  <si>
    <t>RED Pants Jumbo New MD</t>
  </si>
  <si>
    <t>PAMPERS PANTS DL2 MD48SX6 JP KN2 PU NMIN</t>
  </si>
  <si>
    <t>RED Pants Jumbo New SM</t>
  </si>
  <si>
    <t>PAMPERS PANTS DL2 SM60SX6 JP KN2PU CCIN</t>
  </si>
  <si>
    <t>RED Pants Regs LG</t>
  </si>
  <si>
    <t>PAMPERS PANTS DL2 LG7SX40 REG KNGS SO IN</t>
  </si>
  <si>
    <t>RED Pants Regs MD</t>
  </si>
  <si>
    <t>PAMPERS PANTS DL2 MD8SX40 REG KNGS SO IN</t>
  </si>
  <si>
    <t>RED Pants Regs NB</t>
  </si>
  <si>
    <t>PAMPERS PANTS DL2 XS10SX40 REG KN2 PU IN</t>
  </si>
  <si>
    <t>RED Pants Regs SM</t>
  </si>
  <si>
    <t>PAMPERS PANTS DL2 SM10SX40 REG KN2PUGSIN</t>
  </si>
  <si>
    <t>RED Pants Regs XL</t>
  </si>
  <si>
    <t>PAMPERS PANTS DL2 XL6SX40 REG KN GS IN</t>
  </si>
  <si>
    <t>BLUE Pants Regs NB</t>
  </si>
  <si>
    <t>PAMPERS PANTS HL5 XS8SX40 REG GS IN</t>
  </si>
  <si>
    <t>BLUE Pants Regs SM</t>
  </si>
  <si>
    <t>PAMPERS PANTS HL5 SM7SX40 REG GS SO IN</t>
  </si>
  <si>
    <t>PC Pants LG Econ Pk</t>
  </si>
  <si>
    <t>PAMPERS DPR MML3.0 LG16SX18 ECON DC IN</t>
  </si>
  <si>
    <t>PC Pants MD Econ Pk</t>
  </si>
  <si>
    <t>PAMPERS DPR MML3.0 MD20SX18 ECON DC IN</t>
  </si>
  <si>
    <t>PC Pants NB Econ Pk</t>
  </si>
  <si>
    <t>PAMPERS DPR MML3.0 XS30SX18 ECON DC IN</t>
  </si>
  <si>
    <t>PC Pants SM Econ Pk</t>
  </si>
  <si>
    <t>PAMPERS DPR MML3.0 SM26SX18 ECON DC IN</t>
  </si>
  <si>
    <t>PC Pants XL Econ PK</t>
  </si>
  <si>
    <t>PAMPERS DPR MML2.1 XL14SX18 ECON DC IN</t>
  </si>
  <si>
    <t>H&amp;S 2in1 SS 72ml</t>
  </si>
  <si>
    <t>H&amp;S SHM 72MLX48 S&amp;S 2IN1 IN PCR</t>
  </si>
  <si>
    <t>H&amp;S 7IN1 72ML</t>
  </si>
  <si>
    <t>H&amp;S SHM 72 ML X 48 7IN1 IN PCR</t>
  </si>
  <si>
    <t>H&amp;S AHF 90ML</t>
  </si>
  <si>
    <t>H&amp;S SHM 72ML X 48 AHF IN PCR</t>
  </si>
  <si>
    <t>H&amp;S BG 72ML</t>
  </si>
  <si>
    <t>H&amp;S SHM 72ML X 48 DEEP CLEANSE IN PCR</t>
  </si>
  <si>
    <t>H&amp;S CM 90ML</t>
  </si>
  <si>
    <t>H&amp;S SHM 72 ML X 48 CM IN EDTA</t>
  </si>
  <si>
    <t>H&amp;S SS 90ML</t>
  </si>
  <si>
    <t>H&amp;S SHM 72ML X 48 S&amp;S IN PCR</t>
  </si>
  <si>
    <t>PNTN LC 90ML</t>
  </si>
  <si>
    <t>PNTN SHM 90MLX48 HS LC IN GST</t>
  </si>
  <si>
    <t>Pntn HFC 90ml</t>
  </si>
  <si>
    <t>PNTN SHM 75 MLX48 HS HFC IN GST</t>
  </si>
  <si>
    <t>PNTN CONDI BOND REPAIR 200ML</t>
  </si>
  <si>
    <t>PTN ROT 180MLX24 BR D50H199 GOLDIE IN</t>
  </si>
  <si>
    <t>Pntn condi Collagen 3MM 200ml</t>
  </si>
  <si>
    <t>PNTN 3MM COLLAGEN COND 200MLX24 IN</t>
  </si>
  <si>
    <t>Olay NA IGF 20gm</t>
  </si>
  <si>
    <t>OLAY NA IGF 20GX6X8 IN_RS109 PU</t>
  </si>
  <si>
    <t>OMNIR-26-I000214</t>
  </si>
  <si>
    <t>OMNIR-26-I000213</t>
  </si>
  <si>
    <t>OMNIR-26-I000218</t>
  </si>
  <si>
    <t>OMNIR-26-I000217</t>
  </si>
  <si>
    <t>OMNIR-26-I000215</t>
  </si>
  <si>
    <t>OMNIR-26-I000216</t>
  </si>
  <si>
    <t>OMNIR-26-I000219</t>
  </si>
  <si>
    <t>Fusion Power Raz</t>
  </si>
  <si>
    <t>Fusion Pow Rzr 557.1 1UP 1X6X6IT 575 INR</t>
  </si>
  <si>
    <t>Fusion Raz</t>
  </si>
  <si>
    <t>Fusion Razor 557.1 1UP 1X6X6IT 425 INR</t>
  </si>
  <si>
    <t>Turbo Mach-3 Rzr Flexi</t>
  </si>
  <si>
    <t>MACH3 TRB FLEXI RAZ1UP F1 1X6X6 399 INR</t>
  </si>
  <si>
    <t>Vector3 Cart 4s</t>
  </si>
  <si>
    <t>VEC3 CRT 4 PSHBT 4X12X6 INR275</t>
  </si>
  <si>
    <t>OB Crisscross Antiplaq Neem B2G2 Sft</t>
  </si>
  <si>
    <t>OB OM196 CRCS DeepClnNEEM40S 160INR4X6X6__</t>
  </si>
  <si>
    <t>OB Crisscross Bact Blast B2G1 Sft</t>
  </si>
  <si>
    <t>OB CRCSDEPCLNBACBST40S 170INR B2G1 3X6X8</t>
  </si>
  <si>
    <t>OB Crisscross Rs50 3s</t>
  </si>
  <si>
    <t>OB OM196 PH CRCR 40S BCD 108INR 3X6X8</t>
  </si>
  <si>
    <t>OB KIDS CHOTA BHEEM 3S</t>
  </si>
  <si>
    <t>OB OK006 EMKB LITE 3CT BCD 60INR 3X6X8__</t>
  </si>
  <si>
    <t>Foam (Mnth) 200ml</t>
  </si>
  <si>
    <t>GIL FM SHVP 196 G MNTH 1X24 INR 270</t>
  </si>
  <si>
    <t>Foam (Reg) 200ml</t>
  </si>
  <si>
    <t>GIL FM SHVP 196G REG 1X24 INR 249</t>
  </si>
  <si>
    <t>Cream GIL Lime 93gm</t>
  </si>
  <si>
    <t>GIL LIME SHV CRM 70G 1X96 80INR</t>
  </si>
  <si>
    <t>TSG (Sen) 60g</t>
  </si>
  <si>
    <t>TGS GEL SHVP 60G SENS 1CSX144IT 99INR</t>
  </si>
  <si>
    <t>whspr Liners 20s</t>
  </si>
  <si>
    <t>WHSPR LINER REG ONM RPW 20X18(175) PU</t>
  </si>
  <si>
    <t>Whspr Soft XL 6s</t>
  </si>
  <si>
    <t>WHISP ULT SOFTS XL 6X72 (80) PU</t>
  </si>
  <si>
    <t>Inhaler Keychain</t>
  </si>
  <si>
    <t>VICKS INHALER 0.5MLX12X60 KEYCHAIN RS64</t>
  </si>
  <si>
    <t>ZZZQUIL 10S</t>
  </si>
  <si>
    <t>VICKS ZZZQUIL GUMMY 10CTX6X20 JAR RS225</t>
  </si>
  <si>
    <t>Vicks Double Power Standee Pouch 25s Menthol</t>
  </si>
  <si>
    <t>VICKS DROP MENTHOL 2.9GX25X60 BAGS RS50</t>
  </si>
  <si>
    <t>ASL MUSK 100ML</t>
  </si>
  <si>
    <t>OS ASL MUSK 100MLX48 S3_RS265</t>
  </si>
  <si>
    <t>OS DEO LIONPRIDE</t>
  </si>
  <si>
    <t>OLD SPICE LIONPRIDE 140MLX12X4 IN 299</t>
  </si>
  <si>
    <t>OS POCKET STREAMER OF 2 LIONPRIDE</t>
  </si>
  <si>
    <t>OLD SPICE LIONPRIDE 17MLX72X2 IN_INR 75</t>
  </si>
  <si>
    <t>Active Baby LG Econ</t>
  </si>
  <si>
    <t>PAMPERS DPR M5 LG18SX18 ECON GS IN</t>
  </si>
  <si>
    <t>PAMPERS PANTS DL2 LG40SX6 JP KN2DTPU IN</t>
  </si>
  <si>
    <t>BLUE Pants Regs LG</t>
  </si>
  <si>
    <t>PAMPERS PANTS HL5 LG5SX40 REG GS IN</t>
  </si>
  <si>
    <t>BLUE Pants Regs MD</t>
  </si>
  <si>
    <t>PAMPERS PANTS HL5 MD6SX40 REG GS IN</t>
  </si>
  <si>
    <t>BLUE Pants Regs XL</t>
  </si>
  <si>
    <t>PAMPERS PANTS HL5 XL7SX40 REG GS IN</t>
  </si>
  <si>
    <t>PAMPERS DPR MML2.1 MD20SX18 ECON DC IN</t>
  </si>
  <si>
    <t>Pntn SS 90ml</t>
  </si>
  <si>
    <t>PNTN SHM 75 ML X 48 HS SS IN GST</t>
  </si>
  <si>
    <t>Pntn condi Biotin 3MM 200ml</t>
  </si>
  <si>
    <t>PNTN 3MM BIOTIN COND 200MLX24 IN</t>
  </si>
  <si>
    <t>TOTAL</t>
  </si>
  <si>
    <t>3*Cream GIL Lime 93gm</t>
  </si>
  <si>
    <t>Gillette Aftershave Refreshing Breeze 50ml</t>
  </si>
  <si>
    <t>Gillette Cartridges ( 16 Cartridges)</t>
  </si>
  <si>
    <t>4CANCEL</t>
  </si>
  <si>
    <t>Gillette Classic Regular Foam - 150g (50g x 3)</t>
  </si>
  <si>
    <t>Gillette Fusion Power Razor</t>
  </si>
  <si>
    <t>Gillette Fusion Razor</t>
  </si>
  <si>
    <t>Gillette Guard 3-in-1 Blade Cartridge  - 4 cartridge (2 x 2)</t>
  </si>
  <si>
    <t>Gillette Guard Shaving Cream  - 375gm (125gm x 3)</t>
  </si>
  <si>
    <t>Gillette Mach3 Cartridge 2s</t>
  </si>
  <si>
    <t>Gillette Mach3 Charcoal Razor</t>
  </si>
  <si>
    <t>Gillette Regular Shaving Cream for Men - 279g (93g x 3)</t>
  </si>
  <si>
    <t>Gillette Sensitive Aloe Shaving Gel for Men - 180g (60g x 3)</t>
  </si>
  <si>
    <t>Gillette Shaving Foam Classic Regular 196g</t>
  </si>
  <si>
    <t>Gillette Shaving Foam Classic Sensitive 418g</t>
  </si>
  <si>
    <t>Gillette Shaving Foam Classis Regular 418g</t>
  </si>
  <si>
    <t>Gillette Vector Razor - Pack of 2</t>
  </si>
  <si>
    <t>2CANCEL</t>
  </si>
  <si>
    <t>Gillette Vector Razor Cartridges - 4 pc (2 x 2)</t>
  </si>
  <si>
    <t>Gillette Venus Bikini Sensitive Razor</t>
  </si>
  <si>
    <t>Gillette Venus Comfortglide  Razor  1 Pc</t>
  </si>
  <si>
    <t>Gillette Venus ComfortGlide Cartridges (2 pieces)</t>
  </si>
  <si>
    <t>Gillette Venus Simply Razor - 3 Razors (1 x 3)</t>
  </si>
  <si>
    <t>Gillette Venus Skin Love  Razor - Pack of 1</t>
  </si>
  <si>
    <t>3CANCEL</t>
  </si>
  <si>
    <t>Gillette Venus Smooth Sensitive Cartridges (2 pieces)</t>
  </si>
  <si>
    <t>Gillette Venus Smooth Sensitive Razor 1 Pc</t>
  </si>
  <si>
    <t>1CANCEL</t>
  </si>
  <si>
    <t>Gillette Venus Snap  Razor, Pack of 1</t>
  </si>
  <si>
    <t>H&amp;S  AHF Anti-Dandruff Shampoo  (72 ml), Pack of 3</t>
  </si>
  <si>
    <t>H&amp;S  CM   Shampoo  (72 ml), Pack of 3</t>
  </si>
  <si>
    <t>H&amp;S  S&amp;S   Shampoo  (72 ml), Pack of 3</t>
  </si>
  <si>
    <t>H&amp;S  S&amp;S  2-in-1  Shampoo + Conditioner 72 ml, Pack of 3</t>
  </si>
  <si>
    <t>Head &amp; Shoulders 7in1  Shampoo | 7 benefits , Pack of 3</t>
  </si>
  <si>
    <t>Head &amp; Shoulders Deep Cleanse for Oily Scalp |, Pack of 3</t>
  </si>
  <si>
    <t>Olay Natural Aura Radiance Cream  - 40g (20g x 2)</t>
  </si>
  <si>
    <t>Old Spice Lionpride No Gas Deodorant , Pack of 2 (17ml x 2)</t>
  </si>
  <si>
    <t>Oral-B Cavity Defense Neem Soft - 8 brush (4 x 2)</t>
  </si>
  <si>
    <t>Oral-B Chhota Bheem Kids Extra Soft , 6 brush (3 x 2)</t>
  </si>
  <si>
    <t>Oral-B Criss Cross Anti-Plaque Neem- 8 brush (4 x 2)</t>
  </si>
  <si>
    <t>Pampers Baby Diaper Pants- 4 to 8 kg (Small, 22)</t>
  </si>
  <si>
    <t>Pampers Diapers L 16pcs Premium Care Pants</t>
  </si>
  <si>
    <t>Pampers Diapers L 42pcs Happy Skin Pants</t>
  </si>
  <si>
    <t>Pampers Diapers M 20pcs Premium Care Pants</t>
  </si>
  <si>
    <t>Pampers Diapers M 48pcs Happy Skin Pants</t>
  </si>
  <si>
    <t>Pampers Diapers New born  30pcs Premium Care</t>
  </si>
  <si>
    <t>Pampers Diapers S 26pcs Premium Care Pants</t>
  </si>
  <si>
    <t>Pampers Diapers XL 14pcs Premium Care Pants</t>
  </si>
  <si>
    <t>Pampers Happy Skin Pant  (MD) - 18 diapers (6 x 3)</t>
  </si>
  <si>
    <t>Pampers Happy Skin Pant  (NB) - 24 diapers (8 x 3)</t>
  </si>
  <si>
    <t>Pampers Happy Skin Pant  (SM) - 21 diapers (7 x 3)</t>
  </si>
  <si>
    <t>Pampers Happy Skin Pant , XL - 14 diapers (7 x 2)</t>
  </si>
  <si>
    <t>Pampers Happy Sleep Pant  (L) - (7 x 3) 21 diapers</t>
  </si>
  <si>
    <t>Pampers Happy Sleep Pant  (NB) - 30 pc (10 x 3)</t>
  </si>
  <si>
    <t>Pampers Happy Sleep Pant  (SM) - (10 x 3) 30 diapers</t>
  </si>
  <si>
    <t>Pampers Happy Sleep Pant , XL - 18 diapers (6 x 3)</t>
  </si>
  <si>
    <t>Pampers Happy Sleep Pant Baby Diapers,(S), 60</t>
  </si>
  <si>
    <t>Pampers Happy Sleep Pant(MD) - (8 x 3) 24 diapers</t>
  </si>
  <si>
    <t>Pampers New born  24pcs Active Baby Taped</t>
  </si>
  <si>
    <t>Pantene Advanced Hair Fall Control - 225ml (75ml x 3)</t>
  </si>
  <si>
    <t>Pantene Lively Clean Shampoo  - 225ml (75ml x 3)</t>
  </si>
  <si>
    <t>Pantene Silky Smooth Shampoo  - 225ml (75ml x 3)</t>
  </si>
  <si>
    <t>Vicks BabyRub Soothing Vapor Ointment - 50ml (25ml x 2)</t>
  </si>
  <si>
    <t>Vicks Double Menthol Cough  - 75 units (Pack of 25 x 3)</t>
  </si>
  <si>
    <t>Vicks ZzzQuil Natura Sleep Gummies  Pack of 10</t>
  </si>
  <si>
    <t xml:space="preserve">WHISPER BINDAZZZ NIGHTS  , 6 L-XL </t>
  </si>
  <si>
    <t>Whisper Choice  XXL Sanitary - 18 pads (6 x 3)</t>
  </si>
  <si>
    <t>6CANCEL</t>
  </si>
  <si>
    <t>Whisper Choice Ultra XL Wings Sanitary (Pack of 24)</t>
  </si>
  <si>
    <t>Whisper Choice Wings  - 24 pads (6 x 4)</t>
  </si>
  <si>
    <t>Whisper Choice XL 6pcs (Pack of 4)</t>
  </si>
  <si>
    <t xml:space="preserve">Whisper Maxi Reg 15pcs </t>
  </si>
  <si>
    <t xml:space="preserve">Whisper Panty Liners Reg 20pcs </t>
  </si>
  <si>
    <t>Whisper Super Absorbent  M-L  (Pack of 6)</t>
  </si>
  <si>
    <t>Whisper Ultra Night XXL  - 21 Pads (7 pads x 3)</t>
  </si>
  <si>
    <t>Whisper Ultra Night XXXL Sanitary Pads  - 8 pads (4 x 2)</t>
  </si>
  <si>
    <t>Whisper Ultra Soft XL Sanitary Pads  - 18 pads (6 x 3)</t>
  </si>
  <si>
    <t>Whisper Ultra XL+ Sanitary Pads  - 21 Pads (7 pads x 3)</t>
  </si>
  <si>
    <t>Gillette Shaving Foam Charcoal 196g</t>
  </si>
  <si>
    <t>Gillette Shaving Foam Classic Lemon 196g</t>
  </si>
  <si>
    <t>Gillette Vector3 Razor</t>
  </si>
  <si>
    <t>1490839444785423</t>
  </si>
  <si>
    <t>Old Spice Original Atomizer ASL -150 ml</t>
  </si>
  <si>
    <t xml:space="preserve">Oral-B CrossAction Battery Powered Electric Soft </t>
  </si>
  <si>
    <t>1490839444785401</t>
  </si>
  <si>
    <t>1490839444785445</t>
  </si>
  <si>
    <t>Pantene Bond Repair Conditioner 180ml</t>
  </si>
  <si>
    <t>Vicks VapoRub Ointment  - 50g (25g x 2)</t>
  </si>
  <si>
    <t>Ambi Pur Room Air Freshener Spray Lavender Bouquet - 275ml</t>
  </si>
  <si>
    <t>SF3794130150FPL</t>
  </si>
  <si>
    <t>8CANCEL</t>
  </si>
  <si>
    <t>Whisper Ultra Night XXL+ Sanitary Pads  - 12 pads (6 x 2)</t>
  </si>
  <si>
    <t>Gillette Shaving Foam Classic Menthol 196g</t>
  </si>
  <si>
    <t>Gillette Mach3 Turbo Flexball Razor</t>
  </si>
  <si>
    <t>Oral-B Sensitive Toothbrush - 10 brush (5 x 2)</t>
  </si>
  <si>
    <t>OB Sens Care 5s Pack</t>
  </si>
  <si>
    <t>OS LionPride Lionpride Deodorant(140 ml)</t>
  </si>
  <si>
    <t>OS Musk ASL-100 ml</t>
  </si>
  <si>
    <t>Gillette Moisturizing Shaving Gel for Men - 180g (60g x 3)</t>
  </si>
  <si>
    <t>TSG (Mst) 60g</t>
  </si>
  <si>
    <t>Gillette Vector3 Cartridge 4s</t>
  </si>
  <si>
    <t>Oral-B Criss Cross Soft Toothbrush  - 6 brush (3 x 2)</t>
  </si>
  <si>
    <t>Pampers Diapers L 18pcs Active Baby Taped</t>
  </si>
  <si>
    <t>Pampers Happy Skin Pant  (L) - 15 diapers (5 x 3)</t>
  </si>
  <si>
    <t>Vicks Inhaler with Natural Actives - Pack of 3</t>
  </si>
  <si>
    <t>1490839558274474</t>
  </si>
  <si>
    <t>1490839615412280</t>
  </si>
  <si>
    <t>PCODE</t>
  </si>
  <si>
    <t>EXPECTED</t>
  </si>
  <si>
    <t>ACTUAL</t>
  </si>
  <si>
    <t>DIFF</t>
  </si>
  <si>
    <t>SUB_BRAND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</si>
</sst>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/>
    <xf numFmtId="0" fontId="4" fillId="2" borderId="1" xfId="0" applyFont="1" applyFill="1" applyBorder="1"/>
    <xf numFmtId="0" fontId="4" fillId="3" borderId="2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/>
    </xf>
    <xf numFmtId="0" fontId="3" fillId="3" borderId="2" xfId="0" applyFont="1" applyFill="1" applyBorder="1"/>
    <xf numFmtId="2" fontId="4" fillId="3" borderId="2" xfId="0" applyNumberFormat="1" applyFont="1" applyFill="1" applyBorder="1" applyAlignment="1">
      <alignment horizontal="center" vertical="center"/>
    </xf>
    <xf numFmtId="0" fontId="0" fillId="0" borderId="2" xfId="0" applyBorder="1"/>
    <xf numFmtId="22" fontId="0" fillId="0" borderId="0" xfId="0" applyNumberFormat="1"/>
    <xf numFmtId="164" fontId="4" fillId="3" borderId="2" xfId="1" applyNumberFormat="1" applyFont="1" applyFill="1" applyBorder="1" applyAlignment="1">
      <alignment horizontal="center" vertical="center"/>
    </xf>
    <xf numFmtId="10" fontId="4" fillId="3" borderId="2" xfId="1" applyNumberFormat="1" applyFont="1" applyFill="1" applyBorder="1" applyAlignment="1">
      <alignment horizontal="center" vertical="center"/>
    </xf>
    <xf numFmtId="9" fontId="4" fillId="3" borderId="2" xfId="1" applyFont="1" applyFill="1" applyBorder="1" applyAlignment="1">
      <alignment horizontal="center" vertical="center"/>
    </xf>
    <xf numFmtId="1" fontId="4" fillId="6" borderId="2" xfId="0" applyNumberFormat="1" applyFont="1" applyFill="1" applyBorder="1" applyAlignment="1">
      <alignment horizontal="center"/>
    </xf>
    <xf numFmtId="9" fontId="4" fillId="6" borderId="2" xfId="1" applyFont="1" applyFill="1" applyBorder="1" applyAlignment="1">
      <alignment horizontal="center"/>
    </xf>
    <xf numFmtId="0" fontId="4" fillId="0" borderId="2" xfId="0" applyFont="1" applyBorder="1"/>
    <xf numFmtId="9" fontId="4" fillId="0" borderId="2" xfId="1" applyFont="1" applyBorder="1" applyAlignment="1">
      <alignment horizontal="center"/>
    </xf>
    <xf numFmtId="0" fontId="4" fillId="0" borderId="0" xfId="0" applyFont="1"/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0" fontId="4" fillId="4" borderId="2" xfId="1" applyNumberFormat="1" applyFont="1" applyFill="1" applyBorder="1" applyAlignment="1">
      <alignment horizontal="center"/>
    </xf>
    <xf numFmtId="0" fontId="4" fillId="7" borderId="2" xfId="0" applyFont="1" applyFill="1" applyBorder="1"/>
    <xf numFmtId="1" fontId="4" fillId="0" borderId="2" xfId="0" applyNumberFormat="1" applyFont="1" applyBorder="1"/>
    <xf numFmtId="10" fontId="4" fillId="0" borderId="2" xfId="1" applyNumberFormat="1" applyFont="1" applyBorder="1" applyAlignment="1">
      <alignment horizontal="center"/>
    </xf>
    <xf numFmtId="2" fontId="4" fillId="0" borderId="2" xfId="0" applyNumberFormat="1" applyFont="1" applyBorder="1"/>
    <xf numFmtId="0" fontId="4" fillId="0" borderId="2" xfId="0" applyFont="1" applyBorder="1" applyAlignment="1">
      <alignment horizontal="right" vertical="center"/>
    </xf>
    <xf numFmtId="1" fontId="4" fillId="0" borderId="0" xfId="0" applyNumberFormat="1" applyFont="1" applyAlignment="1">
      <alignment horizontal="center"/>
    </xf>
    <xf numFmtId="1" fontId="4" fillId="0" borderId="0" xfId="0" applyNumberFormat="1" applyFont="1"/>
    <xf numFmtId="0" fontId="4" fillId="0" borderId="0" xfId="0" applyFont="1" applyBorder="1"/>
    <xf numFmtId="1" fontId="3" fillId="0" borderId="2" xfId="0" applyNumberFormat="1" applyFont="1" applyBorder="1"/>
    <xf numFmtId="0" fontId="3" fillId="3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4" fillId="3" borderId="2" xfId="0" applyNumberFormat="1" applyFont="1" applyFill="1" applyBorder="1"/>
    <xf numFmtId="1" fontId="4" fillId="5" borderId="2" xfId="0" applyNumberFormat="1" applyFont="1" applyFill="1" applyBorder="1"/>
    <xf numFmtId="0" fontId="4" fillId="2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" fontId="4" fillId="9" borderId="2" xfId="0" applyNumberFormat="1" applyFont="1" applyFill="1" applyBorder="1"/>
    <xf numFmtId="0" fontId="4" fillId="10" borderId="2" xfId="0" applyFont="1" applyFill="1" applyBorder="1" applyAlignment="1">
      <alignment horizontal="center"/>
    </xf>
    <xf numFmtId="1" fontId="4" fillId="10" borderId="2" xfId="0" applyNumberFormat="1" applyFont="1" applyFill="1" applyBorder="1"/>
    <xf numFmtId="0" fontId="4" fillId="11" borderId="2" xfId="0" applyFont="1" applyFill="1" applyBorder="1" applyAlignment="1">
      <alignment horizontal="center"/>
    </xf>
    <xf numFmtId="1" fontId="4" fillId="11" borderId="2" xfId="0" applyNumberFormat="1" applyFont="1" applyFill="1" applyBorder="1"/>
    <xf numFmtId="0" fontId="5" fillId="12" borderId="2" xfId="0" applyFont="1" applyFill="1" applyBorder="1"/>
    <xf numFmtId="1" fontId="4" fillId="13" borderId="2" xfId="0" applyNumberFormat="1" applyFont="1" applyFill="1" applyBorder="1"/>
    <xf numFmtId="1" fontId="4" fillId="2" borderId="2" xfId="0" applyNumberFormat="1" applyFont="1" applyFill="1" applyBorder="1"/>
    <xf numFmtId="0" fontId="4" fillId="14" borderId="2" xfId="0" applyFont="1" applyFill="1" applyBorder="1" applyAlignment="1">
      <alignment horizontal="center"/>
    </xf>
    <xf numFmtId="1" fontId="4" fillId="14" borderId="2" xfId="0" applyNumberFormat="1" applyFont="1" applyFill="1" applyBorder="1"/>
    <xf numFmtId="0" fontId="4" fillId="13" borderId="2" xfId="0" applyFont="1" applyFill="1" applyBorder="1" applyAlignment="1">
      <alignment horizontal="center"/>
    </xf>
    <xf numFmtId="0" fontId="5" fillId="13" borderId="2" xfId="0" applyFont="1" applyFill="1" applyBorder="1"/>
    <xf numFmtId="0" fontId="2" fillId="13" borderId="0" xfId="0" applyFont="1" applyFill="1" applyAlignment="1">
      <alignment horizontal="center" vertical="center"/>
    </xf>
    <xf numFmtId="0" fontId="4" fillId="13" borderId="2" xfId="0" applyFont="1" applyFill="1" applyBorder="1"/>
    <xf numFmtId="0" fontId="4" fillId="14" borderId="2" xfId="0" applyFont="1" applyFill="1" applyBorder="1"/>
    <xf numFmtId="0" fontId="4" fillId="14" borderId="2" xfId="0" applyFont="1" applyFill="1" applyBorder="1" applyAlignment="1">
      <alignment horizontal="right" vertical="center"/>
    </xf>
    <xf numFmtId="9" fontId="4" fillId="14" borderId="2" xfId="1" applyFont="1" applyFill="1" applyBorder="1" applyAlignment="1">
      <alignment horizontal="center"/>
    </xf>
    <xf numFmtId="0" fontId="4" fillId="14" borderId="2" xfId="0" applyFont="1" applyFill="1" applyBorder="1" applyAlignment="1">
      <alignment horizontal="right"/>
    </xf>
    <xf numFmtId="0" fontId="4" fillId="0" borderId="2" xfId="0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center"/>
    </xf>
    <xf numFmtId="9" fontId="4" fillId="0" borderId="2" xfId="1" applyFont="1" applyFill="1" applyBorder="1" applyAlignment="1">
      <alignment horizontal="center"/>
    </xf>
    <xf numFmtId="0" fontId="4" fillId="0" borderId="2" xfId="0" applyFont="1" applyFill="1" applyBorder="1" applyAlignment="1">
      <alignment horizontal="right"/>
    </xf>
    <xf numFmtId="0" fontId="0" fillId="5" borderId="0" xfId="0" applyFill="1"/>
    <xf numFmtId="0" fontId="0" fillId="2" borderId="0" xfId="0" applyFill="1"/>
    <xf numFmtId="0" fontId="6" fillId="5" borderId="2" xfId="0" applyFont="1" applyFill="1" applyBorder="1" applyAlignment="1">
      <alignment horizontal="left" vertical="top"/>
    </xf>
    <xf numFmtId="0" fontId="6" fillId="5" borderId="2" xfId="0" applyFont="1" applyFill="1" applyBorder="1" applyAlignment="1">
      <alignment horizontal="center" vertical="top"/>
    </xf>
    <xf numFmtId="0" fontId="0" fillId="5" borderId="2" xfId="0" applyFill="1" applyBorder="1" applyAlignment="1">
      <alignment horizontal="left" vertical="top"/>
    </xf>
    <xf numFmtId="0" fontId="7" fillId="5" borderId="2" xfId="0" applyFont="1" applyFill="1" applyBorder="1" applyAlignment="1">
      <alignment horizontal="left" vertical="top"/>
    </xf>
    <xf numFmtId="0" fontId="0" fillId="13" borderId="2" xfId="0" applyFill="1" applyBorder="1" applyAlignment="1">
      <alignment horizontal="left" vertical="top"/>
    </xf>
    <xf numFmtId="0" fontId="7" fillId="5" borderId="2" xfId="0" quotePrefix="1" applyFont="1" applyFill="1" applyBorder="1" applyAlignment="1">
      <alignment horizontal="left" vertical="top"/>
    </xf>
    <xf numFmtId="0" fontId="0" fillId="5" borderId="2" xfId="0" quotePrefix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4" borderId="0" xfId="0" applyFill="1"/>
    <xf numFmtId="1" fontId="4" fillId="14" borderId="2" xfId="0" applyNumberFormat="1" applyFont="1" applyFill="1" applyBorder="1" applyAlignment="1">
      <alignment horizontal="center"/>
    </xf>
    <xf numFmtId="10" fontId="4" fillId="14" borderId="2" xfId="1" applyNumberFormat="1" applyFont="1" applyFill="1" applyBorder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2" xfId="0" applyFill="1" applyBorder="1"/>
    <xf numFmtId="0" fontId="0" fillId="2" borderId="2" xfId="0" applyFill="1" applyBorder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_IRA(19_AUG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ORY"/>
      <sheetName val="IRA"/>
      <sheetName val="OVERVIEW"/>
    </sheetNames>
    <sheetDataSet>
      <sheetData sheetId="0" refreshError="1"/>
      <sheetData sheetId="1">
        <row r="4">
          <cell r="C4" t="str">
            <v>AmbPr Air LB</v>
          </cell>
          <cell r="D4">
            <v>80780342</v>
          </cell>
        </row>
        <row r="5">
          <cell r="C5" t="str">
            <v>AmbPr Air R&amp;B</v>
          </cell>
          <cell r="D5">
            <v>80780340</v>
          </cell>
        </row>
        <row r="6">
          <cell r="C6" t="str">
            <v>AmbPr CarGel Lavender</v>
          </cell>
          <cell r="D6">
            <v>80786348</v>
          </cell>
        </row>
        <row r="7">
          <cell r="C7" t="str">
            <v>AmbPr CarRef Lavendr</v>
          </cell>
          <cell r="D7">
            <v>80753886</v>
          </cell>
        </row>
        <row r="8">
          <cell r="C8" t="str">
            <v>HOME GEL LEMONGRASS</v>
          </cell>
          <cell r="D8">
            <v>80836250</v>
          </cell>
        </row>
        <row r="9">
          <cell r="C9" t="str">
            <v>Home Gel Love Bqt</v>
          </cell>
          <cell r="D9">
            <v>80836247</v>
          </cell>
        </row>
        <row r="10">
          <cell r="C10" t="str">
            <v>AmbPr CarST Lvndr</v>
          </cell>
          <cell r="D10">
            <v>80895688</v>
          </cell>
        </row>
        <row r="11">
          <cell r="C11" t="str">
            <v>AB Pants MD Sup Jumbo PM</v>
          </cell>
          <cell r="D11">
            <v>80895444</v>
          </cell>
        </row>
        <row r="12">
          <cell r="C12" t="str">
            <v>Active Baby LG Econ</v>
          </cell>
          <cell r="D12">
            <v>80853688</v>
          </cell>
        </row>
        <row r="13">
          <cell r="C13" t="str">
            <v>Active Baby LG Econ</v>
          </cell>
          <cell r="D13">
            <v>80895482</v>
          </cell>
        </row>
        <row r="14">
          <cell r="C14" t="str">
            <v>Active Baby NB Econ</v>
          </cell>
          <cell r="D14">
            <v>80895446</v>
          </cell>
        </row>
        <row r="15">
          <cell r="C15" t="str">
            <v>Active Baby NB Econ</v>
          </cell>
          <cell r="D15">
            <v>83933413</v>
          </cell>
        </row>
        <row r="16">
          <cell r="C16" t="str">
            <v>Active Baby SM Econ</v>
          </cell>
          <cell r="D16">
            <v>80830001</v>
          </cell>
        </row>
        <row r="17">
          <cell r="C17" t="str">
            <v>Active Baby SM Econ</v>
          </cell>
          <cell r="D17">
            <v>80895465</v>
          </cell>
        </row>
        <row r="18">
          <cell r="C18" t="str">
            <v>Active Baby SM Econ</v>
          </cell>
          <cell r="D18">
            <v>83933414</v>
          </cell>
        </row>
        <row r="19">
          <cell r="C19" t="str">
            <v>BLUE Pants Regs LG</v>
          </cell>
          <cell r="D19">
            <v>80895503</v>
          </cell>
        </row>
        <row r="20">
          <cell r="C20" t="str">
            <v>BLUE Pants Regs MD</v>
          </cell>
          <cell r="D20">
            <v>80895502</v>
          </cell>
        </row>
        <row r="21">
          <cell r="C21" t="str">
            <v>BLUE Pants Regs NB</v>
          </cell>
          <cell r="D21">
            <v>80895500</v>
          </cell>
        </row>
        <row r="22">
          <cell r="C22" t="str">
            <v>BLUE Pants Regs SM</v>
          </cell>
          <cell r="D22">
            <v>83912172</v>
          </cell>
        </row>
        <row r="23">
          <cell r="C23" t="str">
            <v>BLUE Pants Regs XL</v>
          </cell>
          <cell r="D23">
            <v>80895504</v>
          </cell>
        </row>
        <row r="24">
          <cell r="C24" t="str">
            <v>PC Pants LG Econ Pk</v>
          </cell>
          <cell r="D24">
            <v>80887690</v>
          </cell>
        </row>
        <row r="25">
          <cell r="C25" t="str">
            <v>PC Pants LG Econ Pk</v>
          </cell>
          <cell r="D25">
            <v>83921920</v>
          </cell>
        </row>
        <row r="26">
          <cell r="C26" t="str">
            <v>PC Pants LG Econ Pk</v>
          </cell>
          <cell r="D26">
            <v>80829185</v>
          </cell>
        </row>
        <row r="27">
          <cell r="C27" t="str">
            <v>PC Pants SM Econ Pk</v>
          </cell>
          <cell r="D27">
            <v>80774649</v>
          </cell>
        </row>
        <row r="28">
          <cell r="C28" t="str">
            <v>PC Pants SM Econ Pk</v>
          </cell>
          <cell r="D28">
            <v>80887686</v>
          </cell>
        </row>
        <row r="29">
          <cell r="C29" t="str">
            <v>PC Pants SM Econ Pk</v>
          </cell>
          <cell r="D29">
            <v>83921923</v>
          </cell>
        </row>
        <row r="30">
          <cell r="C30" t="str">
            <v>PC Pants XL Econ PK</v>
          </cell>
          <cell r="D30">
            <v>80887692</v>
          </cell>
        </row>
        <row r="31">
          <cell r="C31" t="str">
            <v>PC Pants XL Econ PK</v>
          </cell>
          <cell r="D31">
            <v>83921927</v>
          </cell>
        </row>
        <row r="32">
          <cell r="C32" t="str">
            <v>RED Pants Jumbo New SM</v>
          </cell>
          <cell r="D32">
            <v>80887987</v>
          </cell>
        </row>
        <row r="33">
          <cell r="C33" t="str">
            <v>RED Pants Jumbo New SM</v>
          </cell>
          <cell r="D33">
            <v>83918765</v>
          </cell>
        </row>
        <row r="34">
          <cell r="C34" t="str">
            <v>RED Pants Regs LG</v>
          </cell>
          <cell r="D34">
            <v>83912164</v>
          </cell>
        </row>
        <row r="35">
          <cell r="C35" t="str">
            <v>RED Pants Regs MD</v>
          </cell>
          <cell r="D35">
            <v>83912166</v>
          </cell>
        </row>
        <row r="36">
          <cell r="C36" t="str">
            <v>RED Pants Regs NB</v>
          </cell>
          <cell r="D36">
            <v>83912169</v>
          </cell>
        </row>
        <row r="37">
          <cell r="C37" t="str">
            <v>RED Pants Regs NB</v>
          </cell>
          <cell r="D37">
            <v>83918758</v>
          </cell>
        </row>
        <row r="38">
          <cell r="C38" t="str">
            <v>RED Pants Regs SM</v>
          </cell>
          <cell r="D38">
            <v>80895526</v>
          </cell>
        </row>
        <row r="39">
          <cell r="C39" t="str">
            <v>RED Pants Regs SM</v>
          </cell>
          <cell r="D39">
            <v>83918759</v>
          </cell>
        </row>
        <row r="40">
          <cell r="C40" t="str">
            <v>RED Pants Regs XL</v>
          </cell>
          <cell r="D40">
            <v>80895517</v>
          </cell>
        </row>
        <row r="41">
          <cell r="C41" t="str">
            <v>RED Pants Value SM</v>
          </cell>
          <cell r="D41">
            <v>80863669</v>
          </cell>
        </row>
        <row r="42">
          <cell r="C42" t="str">
            <v>RED Pants Value SM</v>
          </cell>
          <cell r="D42">
            <v>80895453</v>
          </cell>
        </row>
        <row r="43">
          <cell r="C43" t="str">
            <v>RED Pants Value SM</v>
          </cell>
          <cell r="D43">
            <v>83907882</v>
          </cell>
        </row>
        <row r="44">
          <cell r="C44" t="str">
            <v>RED Pants Value SM</v>
          </cell>
          <cell r="D44">
            <v>83924710</v>
          </cell>
        </row>
        <row r="45">
          <cell r="C45" t="str">
            <v>Wipes Lid Singles OFF</v>
          </cell>
          <cell r="D45">
            <v>80756049</v>
          </cell>
        </row>
        <row r="46">
          <cell r="C46" t="str">
            <v>RED Pants Jumbo New LG</v>
          </cell>
          <cell r="D46">
            <v>80887983</v>
          </cell>
        </row>
        <row r="47">
          <cell r="C47" t="str">
            <v>RED Pants Jumbo New LG</v>
          </cell>
          <cell r="D47">
            <v>83924708</v>
          </cell>
        </row>
        <row r="48">
          <cell r="C48" t="str">
            <v>RED Pants Jumbo New MD</v>
          </cell>
          <cell r="D48">
            <v>80887985</v>
          </cell>
        </row>
        <row r="49">
          <cell r="C49" t="str">
            <v>RED Pants Jumbo New MD</v>
          </cell>
          <cell r="D49">
            <v>83918762</v>
          </cell>
        </row>
        <row r="50">
          <cell r="C50" t="str">
            <v>PC Pants NB Econ Pk</v>
          </cell>
          <cell r="D50">
            <v>83921924</v>
          </cell>
        </row>
        <row r="51">
          <cell r="C51" t="str">
            <v>PC Pants NB Econ Pk</v>
          </cell>
          <cell r="D51">
            <v>80887684</v>
          </cell>
        </row>
        <row r="52">
          <cell r="C52" t="str">
            <v>AB Pants NB Sup Jumbo PM</v>
          </cell>
          <cell r="D52">
            <v>80895450</v>
          </cell>
        </row>
        <row r="53">
          <cell r="C53" t="str">
            <v>RED Pants Jumbo New XL</v>
          </cell>
          <cell r="D53">
            <v>80887989</v>
          </cell>
        </row>
        <row r="54">
          <cell r="C54" t="str">
            <v>RED Pants Jumbo New XL</v>
          </cell>
          <cell r="D54">
            <v>83918766</v>
          </cell>
        </row>
        <row r="55">
          <cell r="C55" t="str">
            <v>AB Pants SM Sup Jumbo PM</v>
          </cell>
          <cell r="D55">
            <v>80895451</v>
          </cell>
        </row>
        <row r="56">
          <cell r="C56" t="str">
            <v>PC Pants MD Econ Pk</v>
          </cell>
          <cell r="D56">
            <v>80887688</v>
          </cell>
        </row>
        <row r="57">
          <cell r="C57" t="str">
            <v>whspr Choice ON XXL 16s</v>
          </cell>
          <cell r="D57">
            <v>80869894</v>
          </cell>
        </row>
        <row r="58">
          <cell r="C58" t="str">
            <v>whspr Choice ON XXL 40s</v>
          </cell>
          <cell r="D58">
            <v>80869897</v>
          </cell>
        </row>
        <row r="59">
          <cell r="C59" t="str">
            <v>whspr Choice ON XXL 40s</v>
          </cell>
          <cell r="D59">
            <v>80888567</v>
          </cell>
        </row>
        <row r="60">
          <cell r="C60" t="str">
            <v>whspr Choice ON XXL 6s</v>
          </cell>
          <cell r="D60">
            <v>80869896</v>
          </cell>
        </row>
        <row r="61">
          <cell r="C61" t="str">
            <v>whspr Choice Ultra 6s</v>
          </cell>
          <cell r="D61">
            <v>83911635</v>
          </cell>
        </row>
        <row r="62">
          <cell r="C62" t="str">
            <v>whspr Choice Wings 6s</v>
          </cell>
          <cell r="D62">
            <v>83911777</v>
          </cell>
        </row>
        <row r="63">
          <cell r="C63" t="str">
            <v>whspr Choice Wings 6s</v>
          </cell>
          <cell r="D63">
            <v>83925440</v>
          </cell>
        </row>
        <row r="64">
          <cell r="C64" t="str">
            <v>whspr Choice XL 36s</v>
          </cell>
          <cell r="D64">
            <v>80887328</v>
          </cell>
        </row>
        <row r="65">
          <cell r="C65" t="str">
            <v>whspr Choice XL 36s</v>
          </cell>
          <cell r="D65">
            <v>83914731</v>
          </cell>
        </row>
        <row r="66">
          <cell r="C66" t="str">
            <v>whspr Choice XL 6s</v>
          </cell>
          <cell r="D66">
            <v>83911783</v>
          </cell>
        </row>
        <row r="67">
          <cell r="C67" t="str">
            <v>whspr Liners 20s</v>
          </cell>
          <cell r="D67">
            <v>80870015</v>
          </cell>
        </row>
        <row r="68">
          <cell r="C68" t="str">
            <v>Whspr ON Koala Pants M-L 6s</v>
          </cell>
          <cell r="D68">
            <v>80870357</v>
          </cell>
        </row>
        <row r="69">
          <cell r="C69" t="str">
            <v>Whspr Soft XL 6s</v>
          </cell>
          <cell r="D69">
            <v>83914233</v>
          </cell>
        </row>
        <row r="70">
          <cell r="C70" t="str">
            <v>whspr Ult ON XXL 7s</v>
          </cell>
          <cell r="D70">
            <v>80887532</v>
          </cell>
        </row>
        <row r="71">
          <cell r="C71" t="str">
            <v>whspr Ult ON XXL 7s</v>
          </cell>
          <cell r="D71">
            <v>83916746</v>
          </cell>
        </row>
        <row r="72">
          <cell r="C72" t="str">
            <v>whspr Ult ON XXL+ 6s</v>
          </cell>
          <cell r="D72">
            <v>80853665</v>
          </cell>
        </row>
        <row r="73">
          <cell r="C73" t="str">
            <v>whspr Ult ON XXL+ 6s</v>
          </cell>
          <cell r="D73">
            <v>83908992</v>
          </cell>
        </row>
        <row r="74">
          <cell r="C74" t="str">
            <v>whspr Ult XXXL ON 4s</v>
          </cell>
          <cell r="D74">
            <v>80887674</v>
          </cell>
        </row>
        <row r="75">
          <cell r="C75" t="str">
            <v>whspr Ultra XL+ 7s CFC</v>
          </cell>
          <cell r="D75">
            <v>80851068</v>
          </cell>
        </row>
        <row r="76">
          <cell r="C76" t="str">
            <v>whspr Ultra XL+ 7s CFC</v>
          </cell>
          <cell r="D76">
            <v>83904906</v>
          </cell>
        </row>
        <row r="77">
          <cell r="C77" t="str">
            <v>whspr Ultra XL+ 7s CFC</v>
          </cell>
          <cell r="D77">
            <v>80893410</v>
          </cell>
        </row>
        <row r="78">
          <cell r="C78" t="str">
            <v>Whspr ON Koala Pants L-XL 6s</v>
          </cell>
          <cell r="D78">
            <v>80870358</v>
          </cell>
        </row>
        <row r="79">
          <cell r="C79" t="str">
            <v>Whspr ON Koala Pants M-L 12s</v>
          </cell>
          <cell r="D79">
            <v>80870359</v>
          </cell>
        </row>
        <row r="80">
          <cell r="C80" t="str">
            <v>whspr Ult ON XXL 44s</v>
          </cell>
          <cell r="D80">
            <v>80887530</v>
          </cell>
        </row>
        <row r="81">
          <cell r="C81" t="str">
            <v>whspr Ult ON XXL 44s</v>
          </cell>
          <cell r="D81">
            <v>83916745</v>
          </cell>
        </row>
        <row r="82">
          <cell r="C82" t="str">
            <v>Whspr ON Koala Pants L-XL 12s</v>
          </cell>
          <cell r="D82">
            <v>80870354</v>
          </cell>
        </row>
        <row r="83">
          <cell r="C83" t="str">
            <v>Simply Venus 3s Disp</v>
          </cell>
          <cell r="D83">
            <v>80864296</v>
          </cell>
        </row>
        <row r="84">
          <cell r="C84" t="str">
            <v>VENUS BIKINI SENSITIVE 1S</v>
          </cell>
          <cell r="D84">
            <v>80832388</v>
          </cell>
        </row>
        <row r="85">
          <cell r="C85" t="str">
            <v>VENUS BIKINI SENSITIVE 1S</v>
          </cell>
          <cell r="D85">
            <v>80875513</v>
          </cell>
        </row>
        <row r="86">
          <cell r="C86" t="str">
            <v>Venus Breeze Razor</v>
          </cell>
          <cell r="D86">
            <v>80840354</v>
          </cell>
        </row>
        <row r="87">
          <cell r="C87" t="str">
            <v>Venus Cart 2s</v>
          </cell>
          <cell r="D87">
            <v>80832389</v>
          </cell>
        </row>
        <row r="88">
          <cell r="C88" t="str">
            <v>Venus Razor</v>
          </cell>
          <cell r="D88">
            <v>80832398</v>
          </cell>
        </row>
        <row r="89">
          <cell r="C89" t="str">
            <v>Venus Snap 1UP</v>
          </cell>
          <cell r="D89">
            <v>80784058</v>
          </cell>
        </row>
        <row r="90">
          <cell r="C90" t="str">
            <v>Venus Snap 1UP</v>
          </cell>
          <cell r="D90">
            <v>80832394</v>
          </cell>
        </row>
        <row r="91">
          <cell r="C91" t="str">
            <v>Venus Breeze Cart 2s</v>
          </cell>
          <cell r="D91">
            <v>80840352</v>
          </cell>
        </row>
        <row r="92">
          <cell r="C92" t="str">
            <v>Fusion 2s</v>
          </cell>
          <cell r="D92">
            <v>80876079</v>
          </cell>
        </row>
        <row r="93">
          <cell r="C93" t="str">
            <v>Fusion Power 2s</v>
          </cell>
          <cell r="D93">
            <v>80876087</v>
          </cell>
        </row>
        <row r="94">
          <cell r="C94" t="str">
            <v>Fusion Power Raz</v>
          </cell>
          <cell r="D94">
            <v>80797472</v>
          </cell>
        </row>
        <row r="95">
          <cell r="C95" t="str">
            <v>Fusion Raz</v>
          </cell>
          <cell r="D95">
            <v>80797470</v>
          </cell>
        </row>
        <row r="96">
          <cell r="C96" t="str">
            <v>Guard 3in1 Cart 2s</v>
          </cell>
          <cell r="D96">
            <v>80867316</v>
          </cell>
        </row>
        <row r="97">
          <cell r="C97" t="str">
            <v>Guard 3in1 Razor</v>
          </cell>
          <cell r="D97">
            <v>80867315</v>
          </cell>
        </row>
        <row r="98">
          <cell r="C98" t="str">
            <v>Guard R+8 Promo Pack</v>
          </cell>
          <cell r="D98">
            <v>83904003</v>
          </cell>
        </row>
        <row r="99">
          <cell r="C99" t="str">
            <v>Mach 3 Cart 2s</v>
          </cell>
          <cell r="D99">
            <v>80876082</v>
          </cell>
        </row>
        <row r="100">
          <cell r="C100" t="str">
            <v>Mach-3 Rzr</v>
          </cell>
          <cell r="D100">
            <v>80803704</v>
          </cell>
        </row>
        <row r="101">
          <cell r="C101" t="str">
            <v>ProGlide Cart 2s</v>
          </cell>
          <cell r="D101">
            <v>80876084</v>
          </cell>
        </row>
        <row r="102">
          <cell r="C102" t="str">
            <v>ProGlide Flexbal Rzr</v>
          </cell>
          <cell r="D102">
            <v>80797473</v>
          </cell>
        </row>
        <row r="103">
          <cell r="C103" t="str">
            <v>Turbo Mach-3 Rzr Flexi</v>
          </cell>
          <cell r="D103">
            <v>80803712</v>
          </cell>
        </row>
        <row r="104">
          <cell r="C104" t="str">
            <v>Vector 2s</v>
          </cell>
          <cell r="D104">
            <v>80864300</v>
          </cell>
        </row>
        <row r="105">
          <cell r="C105" t="str">
            <v>Vector Rzr</v>
          </cell>
          <cell r="D105">
            <v>80875507</v>
          </cell>
        </row>
        <row r="106">
          <cell r="C106" t="str">
            <v>Vector3 Cart 4s</v>
          </cell>
          <cell r="D106">
            <v>80818346</v>
          </cell>
        </row>
        <row r="107">
          <cell r="C107" t="str">
            <v>Vector3 Rzr</v>
          </cell>
          <cell r="D107">
            <v>80818341</v>
          </cell>
        </row>
        <row r="108">
          <cell r="C108" t="str">
            <v>Mach-3 Charcoal Rzr</v>
          </cell>
          <cell r="D108">
            <v>80803710</v>
          </cell>
        </row>
        <row r="109">
          <cell r="C109" t="str">
            <v>H&amp;S 2in1 SS 72ml</v>
          </cell>
          <cell r="D109">
            <v>80880909</v>
          </cell>
        </row>
        <row r="110">
          <cell r="C110" t="str">
            <v>H&amp;S 2in1 SS 72ml</v>
          </cell>
          <cell r="D110">
            <v>83911268</v>
          </cell>
        </row>
        <row r="111">
          <cell r="C111" t="str">
            <v>H&amp;S 7IN1 72ML</v>
          </cell>
          <cell r="D111">
            <v>83911276</v>
          </cell>
        </row>
        <row r="112">
          <cell r="C112" t="str">
            <v>H&amp;S AHF 90ML</v>
          </cell>
          <cell r="D112">
            <v>83911270</v>
          </cell>
        </row>
        <row r="113">
          <cell r="C113" t="str">
            <v>H&amp;S BG 72ML</v>
          </cell>
          <cell r="D113">
            <v>83911281</v>
          </cell>
        </row>
        <row r="114">
          <cell r="C114" t="str">
            <v>H&amp;S CM 90ML</v>
          </cell>
          <cell r="D114">
            <v>80892904</v>
          </cell>
        </row>
        <row r="115">
          <cell r="C115" t="str">
            <v>H&amp;S SS 90ML</v>
          </cell>
          <cell r="D115">
            <v>83911280</v>
          </cell>
        </row>
        <row r="116">
          <cell r="C116" t="str">
            <v>Pntn condi Biotin 3MM 200ml</v>
          </cell>
          <cell r="D116">
            <v>80830098</v>
          </cell>
        </row>
        <row r="117">
          <cell r="C117" t="str">
            <v>PNTN CONDI BOND REPAIR 200ML</v>
          </cell>
          <cell r="D117">
            <v>80876990</v>
          </cell>
        </row>
        <row r="118">
          <cell r="C118" t="str">
            <v>Pntn condi Collagen 3MM 200ml</v>
          </cell>
          <cell r="D118">
            <v>80830097</v>
          </cell>
        </row>
        <row r="119">
          <cell r="C119" t="str">
            <v>Pntn condi HFC 180ml</v>
          </cell>
          <cell r="D119">
            <v>80877223</v>
          </cell>
        </row>
        <row r="120">
          <cell r="C120" t="str">
            <v>Pntn condi HFC 180ml</v>
          </cell>
          <cell r="D120">
            <v>80841061</v>
          </cell>
        </row>
        <row r="121">
          <cell r="C121" t="str">
            <v>Pntn condi SS 180ml</v>
          </cell>
          <cell r="D121">
            <v>80877222</v>
          </cell>
        </row>
        <row r="122">
          <cell r="C122" t="str">
            <v>Pntn condi SS 90ml</v>
          </cell>
          <cell r="D122">
            <v>80851521</v>
          </cell>
        </row>
        <row r="123">
          <cell r="C123" t="str">
            <v>Pntn HFC 90ml</v>
          </cell>
          <cell r="D123">
            <v>80879273</v>
          </cell>
        </row>
        <row r="124">
          <cell r="C124" t="str">
            <v>PNTN LC 90ML</v>
          </cell>
          <cell r="D124">
            <v>80879269</v>
          </cell>
        </row>
        <row r="125">
          <cell r="C125" t="str">
            <v>Pntn SS 90ml</v>
          </cell>
          <cell r="D125">
            <v>80879272</v>
          </cell>
        </row>
        <row r="126">
          <cell r="C126" t="str">
            <v>BabyRub 25 ml</v>
          </cell>
          <cell r="D126">
            <v>80862572</v>
          </cell>
        </row>
        <row r="127">
          <cell r="C127" t="str">
            <v>Inhaler Keychain</v>
          </cell>
          <cell r="D127">
            <v>80885888</v>
          </cell>
        </row>
        <row r="128">
          <cell r="C128" t="str">
            <v>Vaporub 25gm</v>
          </cell>
          <cell r="D128">
            <v>83916219</v>
          </cell>
        </row>
        <row r="129">
          <cell r="C129" t="str">
            <v>Vaporub Xtra Strong 25ml</v>
          </cell>
          <cell r="D129">
            <v>83916232</v>
          </cell>
        </row>
        <row r="130">
          <cell r="C130" t="str">
            <v>Vicks Double Power Standee Pouch 25s Ginger</v>
          </cell>
          <cell r="D130">
            <v>80833457</v>
          </cell>
        </row>
        <row r="131">
          <cell r="C131" t="str">
            <v>Vicks Double Power Standee Pouch 25s Ginger</v>
          </cell>
          <cell r="D131">
            <v>80895628</v>
          </cell>
        </row>
        <row r="132">
          <cell r="C132" t="str">
            <v>Vicks Double Power Standee Pouch 25s Menthol</v>
          </cell>
          <cell r="D132">
            <v>80895630</v>
          </cell>
        </row>
        <row r="133">
          <cell r="C133" t="str">
            <v>ZZZQUIL 10S</v>
          </cell>
          <cell r="D133">
            <v>80870946</v>
          </cell>
        </row>
        <row r="134">
          <cell r="C134" t="str">
            <v>OB CAPH Power brush Sft</v>
          </cell>
          <cell r="D134">
            <v>80843635</v>
          </cell>
        </row>
        <row r="135">
          <cell r="C135" t="str">
            <v>OB CAVDEF NEEM SFT4</v>
          </cell>
          <cell r="D135">
            <v>80895603</v>
          </cell>
        </row>
        <row r="136">
          <cell r="C136" t="str">
            <v>OB CavDefCharcl Med4</v>
          </cell>
          <cell r="D136">
            <v>83913849</v>
          </cell>
        </row>
        <row r="137">
          <cell r="C137" t="str">
            <v>OB CDBACF S 6SPACK</v>
          </cell>
          <cell r="D137">
            <v>80777363</v>
          </cell>
        </row>
        <row r="138">
          <cell r="C138" t="str">
            <v>OB CDBACF S 6SPACK</v>
          </cell>
          <cell r="D138">
            <v>80894428</v>
          </cell>
        </row>
        <row r="139">
          <cell r="C139" t="str">
            <v>OB Crisscross Antiplaq B2G2 Sft</v>
          </cell>
          <cell r="D139">
            <v>80894402</v>
          </cell>
        </row>
        <row r="140">
          <cell r="C140" t="str">
            <v>OB Crisscross Antiplaq B2G2 Sft</v>
          </cell>
          <cell r="D140">
            <v>80895785</v>
          </cell>
        </row>
        <row r="141">
          <cell r="C141" t="str">
            <v>OB Crisscross Bact Blast B2G1 Sft</v>
          </cell>
          <cell r="D141">
            <v>80894418</v>
          </cell>
        </row>
        <row r="142">
          <cell r="C142" t="str">
            <v>OB Crisscross Bact Blast B2G1 Sft</v>
          </cell>
          <cell r="D142">
            <v>80895800</v>
          </cell>
        </row>
        <row r="143">
          <cell r="C143" t="str">
            <v>OB Crisscross Gum Care B2G2 Med</v>
          </cell>
          <cell r="D143">
            <v>80895795</v>
          </cell>
        </row>
        <row r="144">
          <cell r="C144" t="str">
            <v>OB Crisscross Gum Care B2G2 Med</v>
          </cell>
          <cell r="D144">
            <v>80894388</v>
          </cell>
        </row>
        <row r="145">
          <cell r="C145" t="str">
            <v>OB Crisscross Rs50 3s</v>
          </cell>
          <cell r="D145">
            <v>80894404</v>
          </cell>
        </row>
        <row r="146">
          <cell r="C146" t="str">
            <v>OB Crisscross Rs50 3s</v>
          </cell>
          <cell r="D146">
            <v>80895779</v>
          </cell>
        </row>
        <row r="147">
          <cell r="C147" t="str">
            <v>OB CRISSCROSS SENS CHARCOAL B2G1</v>
          </cell>
          <cell r="D147">
            <v>80894424</v>
          </cell>
        </row>
        <row r="148">
          <cell r="C148" t="str">
            <v>OB CRISSCROSS SENS CHARCOAL B2G1</v>
          </cell>
          <cell r="D148">
            <v>80895789</v>
          </cell>
        </row>
        <row r="149">
          <cell r="C149" t="str">
            <v>OB Kids 3s Mickey</v>
          </cell>
          <cell r="D149">
            <v>83913853</v>
          </cell>
        </row>
        <row r="150">
          <cell r="C150" t="str">
            <v>OB KIDS CHOTA BHEEM 3S</v>
          </cell>
          <cell r="D150">
            <v>80895602</v>
          </cell>
        </row>
        <row r="151">
          <cell r="C151" t="str">
            <v>OB Kids Tom&amp;Jerry3s</v>
          </cell>
          <cell r="D151">
            <v>80838057</v>
          </cell>
        </row>
        <row r="152">
          <cell r="C152" t="str">
            <v>OB Kids Tom&amp;Jerry3s</v>
          </cell>
          <cell r="D152">
            <v>83913861</v>
          </cell>
        </row>
        <row r="153">
          <cell r="C153" t="str">
            <v>OB POC CA 2s</v>
          </cell>
          <cell r="D153">
            <v>80707385</v>
          </cell>
        </row>
        <row r="154">
          <cell r="C154" t="str">
            <v>OB Sens Care 5s Pack</v>
          </cell>
          <cell r="D154">
            <v>80895791</v>
          </cell>
        </row>
        <row r="155">
          <cell r="C155" t="str">
            <v>OB Sens Care 5s Pack</v>
          </cell>
          <cell r="D155">
            <v>80894434</v>
          </cell>
        </row>
        <row r="156">
          <cell r="C156" t="str">
            <v>OB Sens White B2G2</v>
          </cell>
          <cell r="D156">
            <v>80894430</v>
          </cell>
        </row>
        <row r="157">
          <cell r="C157" t="str">
            <v>Oral Care Floss</v>
          </cell>
          <cell r="D157">
            <v>83913496</v>
          </cell>
        </row>
        <row r="158">
          <cell r="C158" t="str">
            <v>AS SPLSH (IC) 50ML</v>
          </cell>
          <cell r="D158">
            <v>80865300</v>
          </cell>
        </row>
        <row r="159">
          <cell r="C159" t="str">
            <v>AS SPLSH (RB) 50ML</v>
          </cell>
          <cell r="D159">
            <v>80865298</v>
          </cell>
        </row>
        <row r="160">
          <cell r="C160" t="str">
            <v>Cream GIL Lime 93gm</v>
          </cell>
          <cell r="D160">
            <v>80722192</v>
          </cell>
        </row>
        <row r="161">
          <cell r="C161" t="str">
            <v>Cream GIL Lime 93gm</v>
          </cell>
          <cell r="D161">
            <v>80862826</v>
          </cell>
        </row>
        <row r="162">
          <cell r="C162" t="str">
            <v>Cream GIL Reg 93gm</v>
          </cell>
          <cell r="D162">
            <v>80722191</v>
          </cell>
        </row>
        <row r="163">
          <cell r="C163" t="str">
            <v>Cream GIL Reg 93gm</v>
          </cell>
          <cell r="D163">
            <v>80862828</v>
          </cell>
        </row>
        <row r="164">
          <cell r="C164" t="str">
            <v>Fat Foamy (Reg) 300gm</v>
          </cell>
          <cell r="D164">
            <v>80866729</v>
          </cell>
        </row>
        <row r="165">
          <cell r="C165" t="str">
            <v>Fat Foamy (Sen) 300gm</v>
          </cell>
          <cell r="D165">
            <v>80866723</v>
          </cell>
        </row>
        <row r="166">
          <cell r="C166" t="str">
            <v>Fat Foamy (Sen) 300gm</v>
          </cell>
          <cell r="D166">
            <v>80818342</v>
          </cell>
        </row>
        <row r="167">
          <cell r="C167" t="str">
            <v>Foam (Charcoal) 200ml</v>
          </cell>
          <cell r="D167">
            <v>80866728</v>
          </cell>
        </row>
        <row r="168">
          <cell r="C168" t="str">
            <v>Foam (Lmn) 200ml</v>
          </cell>
          <cell r="D168">
            <v>80866725</v>
          </cell>
        </row>
        <row r="169">
          <cell r="C169" t="str">
            <v>Foam (Mnth) 200ml</v>
          </cell>
          <cell r="D169">
            <v>80866727</v>
          </cell>
        </row>
        <row r="170">
          <cell r="C170" t="str">
            <v>Foam (Reg) 200ml</v>
          </cell>
          <cell r="D170">
            <v>80866724</v>
          </cell>
        </row>
        <row r="171">
          <cell r="C171" t="str">
            <v>Foam (Reg) 50gm</v>
          </cell>
          <cell r="D171">
            <v>80866726</v>
          </cell>
        </row>
        <row r="172">
          <cell r="C172" t="str">
            <v>Gil SBR</v>
          </cell>
          <cell r="D172">
            <v>80820838</v>
          </cell>
        </row>
        <row r="173">
          <cell r="C173" t="str">
            <v>Gil SBR</v>
          </cell>
          <cell r="D173">
            <v>80865297</v>
          </cell>
        </row>
        <row r="174">
          <cell r="C174" t="str">
            <v>Guard Cream 125 gm</v>
          </cell>
          <cell r="D174">
            <v>80896468</v>
          </cell>
        </row>
        <row r="175">
          <cell r="C175" t="str">
            <v>TSG (Mst) 60g</v>
          </cell>
          <cell r="D175">
            <v>80753180</v>
          </cell>
        </row>
        <row r="176">
          <cell r="C176" t="str">
            <v>TSG (Sen) 60g</v>
          </cell>
          <cell r="D176">
            <v>80753181</v>
          </cell>
        </row>
        <row r="177">
          <cell r="C177" t="str">
            <v>Foam (Neem) 200ml</v>
          </cell>
          <cell r="D177">
            <v>80740360</v>
          </cell>
        </row>
        <row r="178">
          <cell r="C178" t="str">
            <v>ASL MUSK 100ML</v>
          </cell>
          <cell r="D178">
            <v>80830420</v>
          </cell>
        </row>
        <row r="179">
          <cell r="C179" t="str">
            <v>ATOM ORIGINAL 150ML</v>
          </cell>
          <cell r="D179">
            <v>80830411</v>
          </cell>
        </row>
        <row r="180">
          <cell r="C180" t="str">
            <v>OS Deo Amber</v>
          </cell>
          <cell r="D180">
            <v>80739421</v>
          </cell>
        </row>
        <row r="181">
          <cell r="C181" t="str">
            <v>OS DEO LIONPRIDE</v>
          </cell>
          <cell r="D181">
            <v>80739423</v>
          </cell>
        </row>
        <row r="182">
          <cell r="C182" t="str">
            <v>OS DEO NOMAD</v>
          </cell>
          <cell r="D182">
            <v>80739413</v>
          </cell>
        </row>
        <row r="183">
          <cell r="C183" t="str">
            <v>OS DEO ORIGINAL</v>
          </cell>
          <cell r="D183">
            <v>80740511</v>
          </cell>
        </row>
        <row r="184">
          <cell r="C184" t="str">
            <v>OS POCKET STREAMER OF 2 LIONPRIDE</v>
          </cell>
          <cell r="D184">
            <v>80762958</v>
          </cell>
        </row>
        <row r="185">
          <cell r="C185" t="str">
            <v>Olay NA IGF 20gm</v>
          </cell>
          <cell r="D185">
            <v>80833282</v>
          </cell>
        </row>
        <row r="186">
          <cell r="C186" t="str">
            <v>Olay NA IGF 20gm</v>
          </cell>
          <cell r="D186">
            <v>80878182</v>
          </cell>
        </row>
        <row r="187">
          <cell r="C187" t="str">
            <v>AmbPr CarGel Lemon</v>
          </cell>
          <cell r="D187">
            <v>80786349</v>
          </cell>
        </row>
        <row r="188">
          <cell r="C188" t="str">
            <v>AB Pants MD Jumbo PM DM</v>
          </cell>
          <cell r="D188">
            <v>80815779</v>
          </cell>
        </row>
        <row r="189">
          <cell r="C189" t="str">
            <v>Act Baby SM Su Jumbo</v>
          </cell>
          <cell r="D189">
            <v>80830003</v>
          </cell>
        </row>
        <row r="190">
          <cell r="C190" t="str">
            <v>Active Baby MD Jumbo</v>
          </cell>
          <cell r="D190">
            <v>80837085</v>
          </cell>
        </row>
        <row r="191">
          <cell r="C191" t="str">
            <v>BLUE Pants 2s LG</v>
          </cell>
          <cell r="D191">
            <v>80866583</v>
          </cell>
        </row>
        <row r="192">
          <cell r="C192" t="str">
            <v>BLUE Pants Econs SM</v>
          </cell>
          <cell r="D192">
            <v>80895505</v>
          </cell>
        </row>
        <row r="193">
          <cell r="C193" t="str">
            <v>BLUE Pants Econs XXL</v>
          </cell>
          <cell r="D193">
            <v>80895507</v>
          </cell>
        </row>
        <row r="194">
          <cell r="C194" t="str">
            <v>BLUE Pants Econs XXL</v>
          </cell>
          <cell r="D194">
            <v>80866560</v>
          </cell>
        </row>
        <row r="195">
          <cell r="C195" t="str">
            <v>BLUE Pants Value NB</v>
          </cell>
          <cell r="D195">
            <v>83907878</v>
          </cell>
        </row>
        <row r="196">
          <cell r="C196" t="str">
            <v>BLUE Pants Value SM</v>
          </cell>
          <cell r="D196">
            <v>83907884</v>
          </cell>
        </row>
        <row r="197">
          <cell r="C197" t="str">
            <v>Pampers SM Econ Pk</v>
          </cell>
          <cell r="D197">
            <v>80858792</v>
          </cell>
        </row>
        <row r="198">
          <cell r="C198" t="str">
            <v>RED Pants Value LG</v>
          </cell>
          <cell r="D198">
            <v>83907881</v>
          </cell>
        </row>
        <row r="199">
          <cell r="C199" t="str">
            <v>RED Pants Value MD</v>
          </cell>
          <cell r="D199">
            <v>83907879</v>
          </cell>
        </row>
        <row r="200">
          <cell r="C200" t="str">
            <v>PC NB Sup Jumbo</v>
          </cell>
          <cell r="D200">
            <v>80887704</v>
          </cell>
        </row>
        <row r="201">
          <cell r="C201" t="str">
            <v>PC Pants XL Sup Jumbo Pk</v>
          </cell>
          <cell r="D201">
            <v>80887712</v>
          </cell>
        </row>
        <row r="202">
          <cell r="C202" t="str">
            <v>AB Pants XL Sup Jumbo PM</v>
          </cell>
          <cell r="D202">
            <v>80895443</v>
          </cell>
        </row>
        <row r="203">
          <cell r="C203" t="str">
            <v>AB Pants LG Sup Jumbo PM</v>
          </cell>
          <cell r="D203">
            <v>80895445</v>
          </cell>
        </row>
        <row r="204">
          <cell r="C204" t="str">
            <v>AB XXL Sup Jumbo</v>
          </cell>
          <cell r="D204">
            <v>80895447</v>
          </cell>
        </row>
        <row r="205">
          <cell r="C205" t="str">
            <v>BLUE Pants Value MD</v>
          </cell>
          <cell r="D205">
            <v>83907886</v>
          </cell>
        </row>
        <row r="206">
          <cell r="C206" t="str">
            <v>AB Pants NB Jumbo PM DM</v>
          </cell>
          <cell r="D206">
            <v>80895511</v>
          </cell>
        </row>
        <row r="207">
          <cell r="C207" t="str">
            <v>AB Pants LG Box Pk</v>
          </cell>
          <cell r="D207">
            <v>80895493</v>
          </cell>
        </row>
        <row r="208">
          <cell r="C208" t="str">
            <v>Active Baby LG Jumbo</v>
          </cell>
          <cell r="D208">
            <v>80895466</v>
          </cell>
        </row>
        <row r="209">
          <cell r="C209" t="str">
            <v>Active Baby MD Super Jumbo</v>
          </cell>
          <cell r="D209">
            <v>80895440</v>
          </cell>
        </row>
        <row r="210">
          <cell r="C210" t="str">
            <v>Active Baby SM Value</v>
          </cell>
          <cell r="D210">
            <v>80895471</v>
          </cell>
        </row>
        <row r="211">
          <cell r="C211" t="str">
            <v>PC Pants SM Sup Jumbo Pk</v>
          </cell>
          <cell r="D211">
            <v>80887706</v>
          </cell>
        </row>
        <row r="212">
          <cell r="C212" t="str">
            <v>Active Baby NB Jumbo</v>
          </cell>
          <cell r="D212">
            <v>80895439</v>
          </cell>
        </row>
        <row r="213">
          <cell r="C213" t="str">
            <v>whspr Choice Ultra 40s</v>
          </cell>
          <cell r="D213">
            <v>80847738</v>
          </cell>
        </row>
        <row r="214">
          <cell r="C214" t="str">
            <v>whspr Choice Ultra 40s</v>
          </cell>
          <cell r="D214">
            <v>83911638</v>
          </cell>
        </row>
        <row r="215">
          <cell r="C215" t="str">
            <v>whspr Choice Ultra 6</v>
          </cell>
          <cell r="D215">
            <v>80845171</v>
          </cell>
        </row>
        <row r="216">
          <cell r="C216" t="str">
            <v>whspr Choice Wing 20s</v>
          </cell>
          <cell r="D216">
            <v>80845910</v>
          </cell>
        </row>
        <row r="217">
          <cell r="C217" t="str">
            <v>whspr Choice Wing 20s</v>
          </cell>
          <cell r="D217">
            <v>83911772</v>
          </cell>
        </row>
        <row r="218">
          <cell r="C218" t="str">
            <v>whspr Choice XL 18</v>
          </cell>
          <cell r="D218">
            <v>83902634</v>
          </cell>
        </row>
        <row r="219">
          <cell r="C219" t="str">
            <v>whspr Soft XL 50s</v>
          </cell>
          <cell r="D219">
            <v>80887273</v>
          </cell>
        </row>
        <row r="220">
          <cell r="C220" t="str">
            <v>whspr Soft XL 50s</v>
          </cell>
          <cell r="D220">
            <v>83914224</v>
          </cell>
        </row>
        <row r="221">
          <cell r="C221" t="str">
            <v>whspr Soft XL 50s</v>
          </cell>
          <cell r="D221">
            <v>80749458</v>
          </cell>
        </row>
        <row r="222">
          <cell r="C222" t="str">
            <v>whspr Soft XL+ 15s</v>
          </cell>
          <cell r="D222">
            <v>80832379</v>
          </cell>
        </row>
        <row r="223">
          <cell r="C223" t="str">
            <v>whspr Ult ON XXL 30s</v>
          </cell>
          <cell r="D223">
            <v>80887529</v>
          </cell>
        </row>
        <row r="224">
          <cell r="C224" t="str">
            <v>whspr Ultra XL 48s</v>
          </cell>
          <cell r="D224">
            <v>80830251</v>
          </cell>
        </row>
        <row r="225">
          <cell r="C225" t="str">
            <v>whspr Ultra XL+ 2s POME</v>
          </cell>
          <cell r="D225">
            <v>80829942</v>
          </cell>
        </row>
        <row r="226">
          <cell r="C226" t="str">
            <v>whspr Ultra XL+ 50s CFC</v>
          </cell>
          <cell r="D226">
            <v>80851072</v>
          </cell>
        </row>
        <row r="227">
          <cell r="C227" t="str">
            <v>whspr Ultra XL+ 50s CFC</v>
          </cell>
          <cell r="D227">
            <v>80851072</v>
          </cell>
        </row>
        <row r="228">
          <cell r="C228" t="str">
            <v>whspr Ult ON XXL 15s</v>
          </cell>
          <cell r="D228">
            <v>80876958</v>
          </cell>
        </row>
        <row r="229">
          <cell r="C229" t="str">
            <v>whspr Maxi RegW ON15s</v>
          </cell>
          <cell r="D229">
            <v>80870505</v>
          </cell>
        </row>
        <row r="230">
          <cell r="C230" t="str">
            <v>whspr Ult ON XXL+ 16s</v>
          </cell>
          <cell r="D230">
            <v>80838649</v>
          </cell>
        </row>
        <row r="231">
          <cell r="C231" t="str">
            <v>whspr Ultra XL+ 60s CFC</v>
          </cell>
          <cell r="D231">
            <v>80851074</v>
          </cell>
        </row>
        <row r="232">
          <cell r="C232" t="str">
            <v>whspr Ult XXXL ON20s</v>
          </cell>
          <cell r="D232">
            <v>80883941</v>
          </cell>
        </row>
        <row r="233">
          <cell r="C233" t="str">
            <v>whspr Choice Ultr 20s</v>
          </cell>
          <cell r="D233">
            <v>80888577</v>
          </cell>
        </row>
        <row r="234">
          <cell r="C234" t="str">
            <v>whspr Ultra XL+ 15s CFC</v>
          </cell>
          <cell r="D234">
            <v>80851067</v>
          </cell>
        </row>
        <row r="235">
          <cell r="C235" t="str">
            <v>Venus Bikini Sensitive 2s</v>
          </cell>
          <cell r="D235">
            <v>80832391</v>
          </cell>
        </row>
        <row r="236">
          <cell r="C236" t="str">
            <v>Venus Bikini Sensitive 2s</v>
          </cell>
          <cell r="D236">
            <v>80817960</v>
          </cell>
        </row>
        <row r="237">
          <cell r="C237" t="str">
            <v>Venus Razor + Gel</v>
          </cell>
          <cell r="D237">
            <v>80885732</v>
          </cell>
        </row>
        <row r="238">
          <cell r="C238" t="str">
            <v>Guard 3in1 Cart 4s</v>
          </cell>
          <cell r="D238">
            <v>80867317</v>
          </cell>
        </row>
        <row r="239">
          <cell r="C239" t="str">
            <v>Guard3 R+8C eC</v>
          </cell>
          <cell r="D239">
            <v>80799271</v>
          </cell>
        </row>
        <row r="240">
          <cell r="C240" t="str">
            <v>Mach3 H+2 eC</v>
          </cell>
          <cell r="D240">
            <v>80803714</v>
          </cell>
        </row>
        <row r="241">
          <cell r="C241" t="str">
            <v>Guard R+12 Promo pack</v>
          </cell>
          <cell r="D241">
            <v>83904005</v>
          </cell>
        </row>
        <row r="242">
          <cell r="C242" t="str">
            <v>Mach3 Crts 6s eC</v>
          </cell>
          <cell r="D242">
            <v>80875790</v>
          </cell>
        </row>
        <row r="243">
          <cell r="C243" t="str">
            <v>M3T Carts 6s eC</v>
          </cell>
          <cell r="D243">
            <v>80831126</v>
          </cell>
        </row>
        <row r="244">
          <cell r="C244" t="str">
            <v>H&amp;S 2in1 AHF 200 ml</v>
          </cell>
          <cell r="D244">
            <v>80880918</v>
          </cell>
        </row>
        <row r="245">
          <cell r="C245" t="str">
            <v>H&amp;S 2in1 AHF 400 ml</v>
          </cell>
          <cell r="D245">
            <v>80896343</v>
          </cell>
        </row>
        <row r="246">
          <cell r="C246" t="str">
            <v>H&amp;S Neem 180ml</v>
          </cell>
          <cell r="D246">
            <v>80892906</v>
          </cell>
        </row>
        <row r="247">
          <cell r="C247" t="str">
            <v>HE Strawberry SH 240ML</v>
          </cell>
          <cell r="D247">
            <v>80731208</v>
          </cell>
        </row>
        <row r="248">
          <cell r="C248" t="str">
            <v>PNTN 2IN1 SS 200ML</v>
          </cell>
          <cell r="D248">
            <v>80851940</v>
          </cell>
        </row>
        <row r="249">
          <cell r="C249" t="str">
            <v>PNTN 2IN1 SS 200ML</v>
          </cell>
          <cell r="D249">
            <v>80889635</v>
          </cell>
        </row>
        <row r="250">
          <cell r="C250" t="str">
            <v>Pntn 2in1 SS 340ml</v>
          </cell>
          <cell r="D250">
            <v>80896337</v>
          </cell>
        </row>
        <row r="251">
          <cell r="C251" t="str">
            <v>Pntn HS 180ml</v>
          </cell>
          <cell r="D251">
            <v>80879279</v>
          </cell>
        </row>
        <row r="252">
          <cell r="C252" t="str">
            <v>PNTN CONDI COLLAGEN 3MM 80ML</v>
          </cell>
          <cell r="D252">
            <v>80878378</v>
          </cell>
        </row>
        <row r="253">
          <cell r="C253" t="str">
            <v>H&amp;S LF 90ML</v>
          </cell>
          <cell r="D253">
            <v>80892903</v>
          </cell>
        </row>
        <row r="254">
          <cell r="C254" t="str">
            <v>H&amp;S 2in1 CM 72ml</v>
          </cell>
          <cell r="D254">
            <v>80872419</v>
          </cell>
        </row>
        <row r="255">
          <cell r="C255" t="str">
            <v>Pntn HS 650ml</v>
          </cell>
          <cell r="D255">
            <v>80778993</v>
          </cell>
        </row>
        <row r="256">
          <cell r="C256" t="str">
            <v>H&amp;S CM 200ML</v>
          </cell>
          <cell r="D256">
            <v>83924013</v>
          </cell>
        </row>
        <row r="257">
          <cell r="C257" t="str">
            <v>Pntn HFC 200ml</v>
          </cell>
          <cell r="D257">
            <v>83924019</v>
          </cell>
        </row>
        <row r="258">
          <cell r="C258" t="str">
            <v>H&amp;S AHF 200ml</v>
          </cell>
          <cell r="D258">
            <v>83924017</v>
          </cell>
        </row>
        <row r="259">
          <cell r="C259" t="str">
            <v>H&amp;S SB 90ML</v>
          </cell>
          <cell r="D259">
            <v>83911269</v>
          </cell>
        </row>
        <row r="260">
          <cell r="C260" t="str">
            <v>H&amp;S SS 750ml</v>
          </cell>
          <cell r="D260">
            <v>83924049</v>
          </cell>
        </row>
        <row r="261">
          <cell r="C261" t="str">
            <v>Vaporub Xtra Strong 50ml</v>
          </cell>
          <cell r="D261">
            <v>80812661</v>
          </cell>
        </row>
        <row r="262">
          <cell r="C262" t="str">
            <v>Zzzquil 24s</v>
          </cell>
          <cell r="D262">
            <v>80757319</v>
          </cell>
        </row>
        <row r="263">
          <cell r="C263" t="str">
            <v>Vicks Cough Syrup 100ml</v>
          </cell>
          <cell r="D263">
            <v>80895619</v>
          </cell>
        </row>
        <row r="264">
          <cell r="C264" t="str">
            <v>OB Sens UT B2G2</v>
          </cell>
          <cell r="D264">
            <v>80828248</v>
          </cell>
        </row>
        <row r="265">
          <cell r="C265" t="str">
            <v>OB Sens Whitening</v>
          </cell>
          <cell r="D265">
            <v>80895793</v>
          </cell>
        </row>
        <row r="266">
          <cell r="C266" t="str">
            <v>OB CavDefCharcl Sft4</v>
          </cell>
          <cell r="D266">
            <v>80756893</v>
          </cell>
        </row>
        <row r="267">
          <cell r="C267" t="str">
            <v>OB CRISSCROSS SENS UT B2G1</v>
          </cell>
          <cell r="D267">
            <v>80818682</v>
          </cell>
        </row>
        <row r="268">
          <cell r="C268" t="str">
            <v>BASE REFRESH BREEZE 195G</v>
          </cell>
          <cell r="D268">
            <v>80750335</v>
          </cell>
        </row>
        <row r="269">
          <cell r="C269" t="str">
            <v>AS SPLSH (RB) 100ml</v>
          </cell>
          <cell r="D269">
            <v>80896465</v>
          </cell>
        </row>
        <row r="270">
          <cell r="C270" t="str">
            <v>ASL LIONPRIDE 100ML</v>
          </cell>
          <cell r="D270">
            <v>80740513</v>
          </cell>
        </row>
        <row r="271">
          <cell r="C271" t="str">
            <v>ASL LIONPRIDE 150ML</v>
          </cell>
          <cell r="D271">
            <v>80830409</v>
          </cell>
        </row>
        <row r="272">
          <cell r="C272" t="str">
            <v>ASL ORIGINAL 100ML PB</v>
          </cell>
          <cell r="D272">
            <v>80830424</v>
          </cell>
        </row>
        <row r="273">
          <cell r="C273" t="str">
            <v>CREAM LIME 70G</v>
          </cell>
          <cell r="D273">
            <v>80818351</v>
          </cell>
        </row>
        <row r="274">
          <cell r="C274" t="str">
            <v>OS Deo Krakengard</v>
          </cell>
          <cell r="D274">
            <v>80739419</v>
          </cell>
        </row>
        <row r="275">
          <cell r="C275" t="str">
            <v>OS Deo Timber</v>
          </cell>
          <cell r="D275">
            <v>80739417</v>
          </cell>
        </row>
        <row r="276">
          <cell r="C276" t="str">
            <v>OS Pocket Lionpride Streamer NSR</v>
          </cell>
          <cell r="D276">
            <v>80759503</v>
          </cell>
        </row>
        <row r="277">
          <cell r="C277" t="str">
            <v>OS Pocket Original Streamer NSR</v>
          </cell>
          <cell r="D277">
            <v>80759507</v>
          </cell>
        </row>
        <row r="278">
          <cell r="C278" t="str">
            <v>OS Deo Wolfthorn</v>
          </cell>
          <cell r="D278">
            <v>80739415</v>
          </cell>
        </row>
        <row r="279">
          <cell r="C279" t="str">
            <v>CREAM ORIGINAL 70G</v>
          </cell>
          <cell r="D279">
            <v>80818354</v>
          </cell>
        </row>
        <row r="280">
          <cell r="C280" t="str">
            <v>ATOM MUSK 150ML</v>
          </cell>
          <cell r="D280">
            <v>80830410</v>
          </cell>
        </row>
        <row r="281">
          <cell r="C281" t="str">
            <v>Mini Retinol Crm 8g</v>
          </cell>
          <cell r="D281">
            <v>80795451</v>
          </cell>
        </row>
        <row r="282">
          <cell r="C282" t="str">
            <v>MINI RG MS DAY 10GM</v>
          </cell>
          <cell r="D282">
            <v>80795452</v>
          </cell>
        </row>
        <row r="283">
          <cell r="C283" t="str">
            <v>Olay Mst Crm 100gm</v>
          </cell>
          <cell r="D283">
            <v>80823578</v>
          </cell>
        </row>
        <row r="284">
          <cell r="C284" t="str">
            <v>Olay NA Day Crm 50gm</v>
          </cell>
          <cell r="D284">
            <v>80823581</v>
          </cell>
        </row>
        <row r="285">
          <cell r="C285" t="str">
            <v>Olay NA Nite Crm 50g</v>
          </cell>
          <cell r="D285">
            <v>80823579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U46"/>
  <sheetViews>
    <sheetView tabSelected="1" workbookViewId="0">
      <selection activeCell="Q2" sqref="Q2"/>
    </sheetView>
  </sheetViews>
  <sheetFormatPr defaultRowHeight="15" x14ac:dyDescent="0.25"/>
  <cols>
    <col min="9" max="16" width="0" hidden="1" customWidth="1"/>
    <col min="18" max="18" width="0" hidden="1" customWidth="1"/>
  </cols>
  <sheetData>
    <row r="2" spans="1:47" x14ac:dyDescent="0.25"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52">
        <v>53</v>
      </c>
      <c r="R2" s="71"/>
      <c r="S2" s="72">
        <v>43</v>
      </c>
      <c r="T2" s="76">
        <v>10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6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</row>
    <row r="4" spans="1:47" x14ac:dyDescent="0.25">
      <c r="B4" s="15" t="s">
        <v>47</v>
      </c>
      <c r="C4" s="15">
        <v>621</v>
      </c>
      <c r="D4" s="15">
        <v>1019</v>
      </c>
      <c r="E4" s="18">
        <v>222175.18000000002</v>
      </c>
      <c r="F4" s="19">
        <v>612</v>
      </c>
      <c r="G4" s="16">
        <v>0.98550724637681164</v>
      </c>
      <c r="H4" s="43">
        <v>1008</v>
      </c>
      <c r="I4" s="19">
        <v>9</v>
      </c>
      <c r="J4" s="15">
        <v>0</v>
      </c>
      <c r="K4" s="19">
        <v>612</v>
      </c>
      <c r="L4" s="15">
        <v>11</v>
      </c>
      <c r="M4" s="20">
        <v>153</v>
      </c>
      <c r="N4" s="21">
        <v>45</v>
      </c>
      <c r="O4" s="22">
        <v>7.3529411764705885E-2</v>
      </c>
      <c r="P4" s="23">
        <v>0</v>
      </c>
      <c r="Q4" s="23">
        <v>0</v>
      </c>
      <c r="R4" s="31">
        <v>218521.41000000006</v>
      </c>
      <c r="S4" s="44">
        <v>1008</v>
      </c>
      <c r="T4" s="21">
        <v>47006.76</v>
      </c>
      <c r="U4" s="19">
        <v>326</v>
      </c>
      <c r="V4" s="13">
        <v>171514.65000000005</v>
      </c>
      <c r="W4" s="14">
        <v>0.21511283493914848</v>
      </c>
      <c r="X4" s="19">
        <v>3</v>
      </c>
      <c r="Y4" s="19">
        <v>0</v>
      </c>
      <c r="Z4" s="19">
        <v>3</v>
      </c>
      <c r="AA4" s="15">
        <v>1701</v>
      </c>
      <c r="AB4" s="25">
        <v>6.6666666666666666E-2</v>
      </c>
      <c r="AC4" s="24">
        <v>3954853.410000002</v>
      </c>
      <c r="AD4" s="20">
        <v>23.058400025887007</v>
      </c>
      <c r="AE4" s="20">
        <v>4</v>
      </c>
      <c r="AF4" s="19">
        <v>4</v>
      </c>
      <c r="AG4" s="19">
        <v>0</v>
      </c>
      <c r="AH4" s="19">
        <v>0</v>
      </c>
      <c r="AI4" s="19" t="s">
        <v>48</v>
      </c>
      <c r="AJ4" s="19" t="s">
        <v>48</v>
      </c>
      <c r="AK4" s="19" t="s">
        <v>48</v>
      </c>
      <c r="AL4" s="19" t="s">
        <v>48</v>
      </c>
      <c r="AM4" s="19" t="s">
        <v>48</v>
      </c>
      <c r="AN4" s="33" t="s">
        <v>48</v>
      </c>
      <c r="AO4" s="33" t="s">
        <v>48</v>
      </c>
      <c r="AP4" s="19" t="s">
        <v>48</v>
      </c>
      <c r="AQ4" s="19" t="s">
        <v>48</v>
      </c>
      <c r="AR4" s="19" t="s">
        <v>48</v>
      </c>
      <c r="AS4" s="19"/>
      <c r="AT4" s="19" t="s">
        <v>49</v>
      </c>
      <c r="AU4" s="19" t="s">
        <v>49</v>
      </c>
    </row>
    <row r="5" spans="1:47" x14ac:dyDescent="0.25">
      <c r="B5" s="15" t="s">
        <v>50</v>
      </c>
      <c r="C5" s="15">
        <v>0</v>
      </c>
      <c r="D5" s="15">
        <v>0</v>
      </c>
      <c r="E5" s="18">
        <v>0</v>
      </c>
      <c r="F5" s="19"/>
      <c r="G5" s="16" t="e">
        <v>#DIV/0!</v>
      </c>
      <c r="H5" s="19">
        <v>0</v>
      </c>
      <c r="I5" s="19">
        <v>0</v>
      </c>
      <c r="J5" s="15">
        <v>0</v>
      </c>
      <c r="K5" s="19">
        <v>0</v>
      </c>
      <c r="L5" s="15">
        <v>0</v>
      </c>
      <c r="M5" s="20" t="e">
        <v>#DIV/0!</v>
      </c>
      <c r="N5" s="21">
        <v>0</v>
      </c>
      <c r="O5" s="22" t="e">
        <v>#DIV/0!</v>
      </c>
      <c r="P5" s="23">
        <v>0</v>
      </c>
      <c r="Q5" s="23">
        <v>0</v>
      </c>
      <c r="R5" s="31">
        <v>0</v>
      </c>
      <c r="S5" s="24">
        <v>0</v>
      </c>
      <c r="T5" s="21">
        <v>0</v>
      </c>
      <c r="U5" s="19">
        <v>0</v>
      </c>
      <c r="V5" s="13">
        <v>0</v>
      </c>
      <c r="W5" s="14" t="e">
        <v>#DIV/0!</v>
      </c>
      <c r="X5" s="19">
        <v>0</v>
      </c>
      <c r="Y5" s="19">
        <v>0</v>
      </c>
      <c r="Z5" s="19">
        <v>0</v>
      </c>
      <c r="AA5" s="15">
        <v>0</v>
      </c>
      <c r="AB5" s="25" t="e">
        <v>#DIV/0!</v>
      </c>
      <c r="AC5" s="24">
        <v>3954853.410000002</v>
      </c>
      <c r="AD5" s="20" t="e">
        <v>#DIV/0!</v>
      </c>
      <c r="AE5" s="20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/>
      <c r="AT5" s="19">
        <v>0</v>
      </c>
      <c r="AU5" s="19">
        <v>0</v>
      </c>
    </row>
    <row r="6" spans="1:47" x14ac:dyDescent="0.25">
      <c r="B6" s="15" t="s">
        <v>51</v>
      </c>
      <c r="C6" s="15">
        <v>2520</v>
      </c>
      <c r="D6" s="15">
        <v>4249</v>
      </c>
      <c r="E6" s="18">
        <v>943939.92999999993</v>
      </c>
      <c r="F6" s="19">
        <v>2496</v>
      </c>
      <c r="G6" s="16">
        <v>0.99047619047619051</v>
      </c>
      <c r="H6" s="34">
        <v>4206</v>
      </c>
      <c r="I6" s="19">
        <v>24</v>
      </c>
      <c r="J6" s="15">
        <v>0</v>
      </c>
      <c r="K6" s="19">
        <v>2496</v>
      </c>
      <c r="L6" s="15">
        <v>43</v>
      </c>
      <c r="M6" s="20">
        <v>624</v>
      </c>
      <c r="N6" s="21">
        <v>36</v>
      </c>
      <c r="O6" s="22">
        <v>1.4423076923076924E-2</v>
      </c>
      <c r="P6" s="23">
        <v>0</v>
      </c>
      <c r="Q6" s="23">
        <v>4206</v>
      </c>
      <c r="R6" s="31">
        <v>0</v>
      </c>
      <c r="S6" s="24">
        <v>0</v>
      </c>
      <c r="T6" s="21">
        <v>0</v>
      </c>
      <c r="U6" s="19">
        <v>0</v>
      </c>
      <c r="V6" s="13">
        <v>0</v>
      </c>
      <c r="W6" s="14" t="e">
        <v>#DIV/0!</v>
      </c>
      <c r="X6" s="19">
        <v>8</v>
      </c>
      <c r="Y6" s="19">
        <v>0</v>
      </c>
      <c r="Z6" s="19">
        <v>8</v>
      </c>
      <c r="AA6" s="15">
        <v>2430.89</v>
      </c>
      <c r="AB6" s="25">
        <v>0.22222222222222221</v>
      </c>
      <c r="AC6" s="24">
        <v>3994722.7499999991</v>
      </c>
      <c r="AD6" s="20" t="e">
        <v>#DIV/0!</v>
      </c>
      <c r="AE6" s="20">
        <v>4</v>
      </c>
      <c r="AF6" s="19">
        <v>4</v>
      </c>
      <c r="AG6" s="19">
        <v>0</v>
      </c>
      <c r="AH6" s="19">
        <v>0</v>
      </c>
      <c r="AI6" s="19" t="s">
        <v>48</v>
      </c>
      <c r="AJ6" s="19" t="s">
        <v>48</v>
      </c>
      <c r="AK6" s="19" t="s">
        <v>48</v>
      </c>
      <c r="AL6" s="19" t="s">
        <v>48</v>
      </c>
      <c r="AM6" s="19" t="s">
        <v>48</v>
      </c>
      <c r="AN6" s="33" t="s">
        <v>49</v>
      </c>
      <c r="AO6" s="33" t="s">
        <v>48</v>
      </c>
      <c r="AP6" s="19" t="s">
        <v>48</v>
      </c>
      <c r="AQ6" s="19" t="s">
        <v>48</v>
      </c>
      <c r="AR6" s="19" t="s">
        <v>48</v>
      </c>
      <c r="AS6" s="19"/>
      <c r="AT6" s="19" t="s">
        <v>49</v>
      </c>
      <c r="AU6" s="19" t="s">
        <v>49</v>
      </c>
    </row>
    <row r="7" spans="1:47" x14ac:dyDescent="0.25">
      <c r="B7" s="15" t="s">
        <v>52</v>
      </c>
      <c r="C7" s="15">
        <v>749</v>
      </c>
      <c r="D7" s="15">
        <v>1324</v>
      </c>
      <c r="E7" s="18">
        <v>234729.93</v>
      </c>
      <c r="F7" s="19">
        <v>740</v>
      </c>
      <c r="G7" s="16">
        <v>0.98798397863818421</v>
      </c>
      <c r="H7" s="34">
        <v>1308</v>
      </c>
      <c r="I7" s="19">
        <v>9</v>
      </c>
      <c r="J7" s="15">
        <v>0</v>
      </c>
      <c r="K7" s="19">
        <v>740</v>
      </c>
      <c r="L7" s="15">
        <v>16</v>
      </c>
      <c r="M7" s="20">
        <v>246.66666666666666</v>
      </c>
      <c r="N7" s="21">
        <v>93</v>
      </c>
      <c r="O7" s="22">
        <v>0.12567567567567567</v>
      </c>
      <c r="P7" s="23">
        <v>0</v>
      </c>
      <c r="Q7" s="23">
        <v>-4206</v>
      </c>
      <c r="R7" s="31">
        <v>1094983.3600000013</v>
      </c>
      <c r="S7" s="37">
        <v>5514</v>
      </c>
      <c r="T7" s="21">
        <v>19099.66</v>
      </c>
      <c r="U7" s="19">
        <v>138</v>
      </c>
      <c r="V7" s="13">
        <v>1075883.7000000014</v>
      </c>
      <c r="W7" s="14">
        <v>1.7442876940157316E-2</v>
      </c>
      <c r="X7" s="19">
        <v>15</v>
      </c>
      <c r="Y7" s="19">
        <v>0</v>
      </c>
      <c r="Z7" s="19">
        <v>15</v>
      </c>
      <c r="AA7" s="26">
        <v>4487.6099999999997</v>
      </c>
      <c r="AB7" s="25">
        <v>0.16129032258064516</v>
      </c>
      <c r="AC7" s="24">
        <v>4740739.45</v>
      </c>
      <c r="AD7" s="20">
        <v>4.4063679466470163</v>
      </c>
      <c r="AE7" s="20">
        <v>3</v>
      </c>
      <c r="AF7" s="19">
        <v>3</v>
      </c>
      <c r="AG7" s="19">
        <v>0</v>
      </c>
      <c r="AH7" s="19">
        <v>0</v>
      </c>
      <c r="AI7" s="19" t="s">
        <v>48</v>
      </c>
      <c r="AJ7" s="19" t="s">
        <v>48</v>
      </c>
      <c r="AK7" s="19" t="s">
        <v>48</v>
      </c>
      <c r="AL7" s="19" t="s">
        <v>48</v>
      </c>
      <c r="AM7" s="19" t="s">
        <v>48</v>
      </c>
      <c r="AN7" s="33" t="s">
        <v>48</v>
      </c>
      <c r="AO7" s="33" t="s">
        <v>48</v>
      </c>
      <c r="AP7" s="19" t="s">
        <v>48</v>
      </c>
      <c r="AQ7" s="19" t="s">
        <v>48</v>
      </c>
      <c r="AR7" s="19" t="s">
        <v>49</v>
      </c>
      <c r="AS7" s="19"/>
      <c r="AT7" s="19" t="s">
        <v>49</v>
      </c>
      <c r="AU7" s="19" t="s">
        <v>49</v>
      </c>
    </row>
    <row r="8" spans="1:47" x14ac:dyDescent="0.25">
      <c r="B8" s="15" t="s">
        <v>53</v>
      </c>
      <c r="C8" s="15">
        <v>1005</v>
      </c>
      <c r="D8" s="15">
        <v>1640</v>
      </c>
      <c r="E8" s="18">
        <v>349416.93000000005</v>
      </c>
      <c r="F8" s="19">
        <v>990</v>
      </c>
      <c r="G8" s="16">
        <v>0.9850746268656716</v>
      </c>
      <c r="H8" s="35">
        <v>1617</v>
      </c>
      <c r="I8" s="19">
        <v>15</v>
      </c>
      <c r="J8" s="15">
        <v>0</v>
      </c>
      <c r="K8" s="19">
        <v>990</v>
      </c>
      <c r="L8" s="15">
        <v>23</v>
      </c>
      <c r="M8" s="20">
        <v>247.5</v>
      </c>
      <c r="N8" s="21">
        <v>38</v>
      </c>
      <c r="O8" s="22">
        <v>3.8383838383838381E-2</v>
      </c>
      <c r="P8" s="23">
        <v>0</v>
      </c>
      <c r="Q8" s="23">
        <v>1188</v>
      </c>
      <c r="R8" s="31">
        <v>95709.789999999964</v>
      </c>
      <c r="S8" s="36">
        <v>429</v>
      </c>
      <c r="T8" s="21">
        <v>8190.68</v>
      </c>
      <c r="U8" s="19">
        <v>81</v>
      </c>
      <c r="V8" s="13">
        <v>87519.109999999957</v>
      </c>
      <c r="W8" s="14">
        <v>8.5578288281689924E-2</v>
      </c>
      <c r="X8" s="19">
        <v>0</v>
      </c>
      <c r="Y8" s="19">
        <v>0</v>
      </c>
      <c r="Z8" s="19">
        <v>0</v>
      </c>
      <c r="AA8" s="15">
        <v>0</v>
      </c>
      <c r="AB8" s="25">
        <v>0</v>
      </c>
      <c r="AC8" s="24">
        <v>3954139.5700000022</v>
      </c>
      <c r="AD8" s="20">
        <v>45.180299136954254</v>
      </c>
      <c r="AE8" s="20">
        <v>4</v>
      </c>
      <c r="AF8" s="19">
        <v>4</v>
      </c>
      <c r="AG8" s="19">
        <v>0</v>
      </c>
      <c r="AH8" s="19">
        <v>0</v>
      </c>
      <c r="AI8" s="19" t="s">
        <v>48</v>
      </c>
      <c r="AJ8" s="19" t="s">
        <v>48</v>
      </c>
      <c r="AK8" s="19" t="s">
        <v>48</v>
      </c>
      <c r="AL8" s="19" t="s">
        <v>48</v>
      </c>
      <c r="AM8" s="19" t="s">
        <v>48</v>
      </c>
      <c r="AN8" s="33" t="s">
        <v>48</v>
      </c>
      <c r="AO8" s="33" t="s">
        <v>48</v>
      </c>
      <c r="AP8" s="19" t="s">
        <v>48</v>
      </c>
      <c r="AQ8" s="19" t="s">
        <v>48</v>
      </c>
      <c r="AR8" s="19" t="s">
        <v>48</v>
      </c>
      <c r="AS8" s="19"/>
      <c r="AT8" s="19" t="s">
        <v>49</v>
      </c>
      <c r="AU8" s="19" t="s">
        <v>49</v>
      </c>
    </row>
    <row r="9" spans="1:47" x14ac:dyDescent="0.25">
      <c r="B9" s="15" t="s">
        <v>54</v>
      </c>
      <c r="C9" s="18">
        <v>1000</v>
      </c>
      <c r="D9" s="19">
        <v>1762</v>
      </c>
      <c r="E9" s="19">
        <v>319570.23</v>
      </c>
      <c r="F9" s="19">
        <v>969</v>
      </c>
      <c r="G9" s="16">
        <v>0.96899999999999997</v>
      </c>
      <c r="H9" s="35">
        <v>1706</v>
      </c>
      <c r="I9" s="19">
        <v>31</v>
      </c>
      <c r="J9" s="15">
        <v>0</v>
      </c>
      <c r="K9" s="19">
        <v>969</v>
      </c>
      <c r="L9" s="15">
        <v>56</v>
      </c>
      <c r="M9" s="20">
        <v>323</v>
      </c>
      <c r="N9" s="21">
        <v>49</v>
      </c>
      <c r="O9" s="22">
        <v>5.0567595459236329E-2</v>
      </c>
      <c r="P9" s="23">
        <v>0</v>
      </c>
      <c r="Q9" s="23">
        <v>-1188</v>
      </c>
      <c r="R9" s="31">
        <v>559991.59000000032</v>
      </c>
      <c r="S9" s="36">
        <v>2894</v>
      </c>
      <c r="T9" s="21">
        <v>1000</v>
      </c>
      <c r="U9" s="19">
        <v>10</v>
      </c>
      <c r="V9" s="13">
        <v>558991.59000000032</v>
      </c>
      <c r="W9" s="14">
        <v>1.7857411037190745E-3</v>
      </c>
      <c r="X9" s="19">
        <v>4</v>
      </c>
      <c r="Y9" s="19">
        <v>0</v>
      </c>
      <c r="Z9" s="19">
        <v>4</v>
      </c>
      <c r="AA9" s="15">
        <v>1330.6100000000001</v>
      </c>
      <c r="AB9" s="25">
        <v>8.1632653061224483E-2</v>
      </c>
      <c r="AC9" s="24">
        <v>4061450.6600000025</v>
      </c>
      <c r="AD9" s="20">
        <v>7.2656739969916186</v>
      </c>
      <c r="AE9" s="20">
        <v>3</v>
      </c>
      <c r="AF9" s="19">
        <v>3</v>
      </c>
      <c r="AG9" s="19">
        <v>0</v>
      </c>
      <c r="AH9" s="19">
        <v>0</v>
      </c>
      <c r="AI9" s="19" t="s">
        <v>48</v>
      </c>
      <c r="AJ9" s="19" t="s">
        <v>48</v>
      </c>
      <c r="AK9" s="19" t="s">
        <v>48</v>
      </c>
      <c r="AL9" s="19" t="s">
        <v>48</v>
      </c>
      <c r="AM9" s="19" t="s">
        <v>48</v>
      </c>
      <c r="AN9" s="33" t="s">
        <v>48</v>
      </c>
      <c r="AO9" s="33" t="s">
        <v>49</v>
      </c>
      <c r="AP9" s="19" t="s">
        <v>48</v>
      </c>
      <c r="AQ9" s="19" t="s">
        <v>48</v>
      </c>
      <c r="AR9" s="19" t="s">
        <v>49</v>
      </c>
      <c r="AS9" s="19"/>
      <c r="AT9" s="19" t="s">
        <v>49</v>
      </c>
      <c r="AU9" s="19" t="s">
        <v>49</v>
      </c>
    </row>
    <row r="10" spans="1:47" x14ac:dyDescent="0.25">
      <c r="B10" s="15" t="s">
        <v>55</v>
      </c>
      <c r="C10" s="15">
        <v>1062</v>
      </c>
      <c r="D10" s="15">
        <v>2086</v>
      </c>
      <c r="E10" s="18">
        <v>310722.03000000014</v>
      </c>
      <c r="F10" s="19">
        <v>1048</v>
      </c>
      <c r="G10" s="16">
        <v>0.98681732580037662</v>
      </c>
      <c r="H10" s="39">
        <v>2067</v>
      </c>
      <c r="I10" s="19">
        <v>14</v>
      </c>
      <c r="J10" s="15">
        <v>0</v>
      </c>
      <c r="K10" s="19">
        <v>1048</v>
      </c>
      <c r="L10" s="15">
        <v>19</v>
      </c>
      <c r="M10" s="20">
        <v>349.33333333333331</v>
      </c>
      <c r="N10" s="21">
        <v>43</v>
      </c>
      <c r="O10" s="22">
        <v>4.1030534351145037E-2</v>
      </c>
      <c r="P10" s="23">
        <v>0</v>
      </c>
      <c r="Q10" s="23">
        <v>0</v>
      </c>
      <c r="R10" s="31">
        <v>306709.56999999983</v>
      </c>
      <c r="S10" s="40">
        <v>2067</v>
      </c>
      <c r="T10" s="21">
        <v>7361.44</v>
      </c>
      <c r="U10" s="19">
        <v>75</v>
      </c>
      <c r="V10" s="13">
        <v>299348.12999999983</v>
      </c>
      <c r="W10" s="14">
        <v>2.4001337812837087E-2</v>
      </c>
      <c r="X10" s="19">
        <v>4</v>
      </c>
      <c r="Y10" s="19">
        <v>2</v>
      </c>
      <c r="Z10" s="19">
        <v>6</v>
      </c>
      <c r="AA10" s="15">
        <v>863.52</v>
      </c>
      <c r="AB10" s="25">
        <v>0.13953488372093023</v>
      </c>
      <c r="AC10" s="24">
        <v>4123744.1500000036</v>
      </c>
      <c r="AD10" s="20">
        <v>13.775747154324986</v>
      </c>
      <c r="AE10" s="20">
        <v>3</v>
      </c>
      <c r="AF10" s="19">
        <v>3</v>
      </c>
      <c r="AG10" s="19">
        <v>0</v>
      </c>
      <c r="AH10" s="19">
        <v>0</v>
      </c>
      <c r="AI10" s="19" t="s">
        <v>48</v>
      </c>
      <c r="AJ10" s="19" t="s">
        <v>48</v>
      </c>
      <c r="AK10" s="19" t="s">
        <v>48</v>
      </c>
      <c r="AL10" s="19" t="s">
        <v>48</v>
      </c>
      <c r="AM10" s="19" t="s">
        <v>49</v>
      </c>
      <c r="AN10" s="33" t="s">
        <v>48</v>
      </c>
      <c r="AO10" s="33" t="s">
        <v>48</v>
      </c>
      <c r="AP10" s="19" t="s">
        <v>48</v>
      </c>
      <c r="AQ10" s="19" t="s">
        <v>48</v>
      </c>
      <c r="AR10" s="19" t="s">
        <v>48</v>
      </c>
      <c r="AS10" s="19"/>
      <c r="AT10" s="19" t="s">
        <v>49</v>
      </c>
      <c r="AU10" s="19" t="s">
        <v>49</v>
      </c>
    </row>
    <row r="11" spans="1:47" x14ac:dyDescent="0.25">
      <c r="B11" s="15" t="s">
        <v>56</v>
      </c>
      <c r="C11" s="15">
        <v>1251</v>
      </c>
      <c r="D11" s="15">
        <v>2517</v>
      </c>
      <c r="E11" s="18">
        <v>379236.5</v>
      </c>
      <c r="F11" s="19">
        <v>1216</v>
      </c>
      <c r="G11" s="16">
        <v>0.97202238209432457</v>
      </c>
      <c r="H11" s="41">
        <v>2467</v>
      </c>
      <c r="I11" s="19">
        <v>35</v>
      </c>
      <c r="J11" s="15">
        <v>0</v>
      </c>
      <c r="K11" s="19">
        <v>1216</v>
      </c>
      <c r="L11" s="15">
        <v>50</v>
      </c>
      <c r="M11" s="20">
        <v>405.33333333333331</v>
      </c>
      <c r="N11" s="21">
        <v>41</v>
      </c>
      <c r="O11" s="22">
        <v>3.3717105263157895E-2</v>
      </c>
      <c r="P11" s="23">
        <v>0</v>
      </c>
      <c r="Q11" s="45">
        <v>3</v>
      </c>
      <c r="R11" s="31">
        <v>365225.23999999993</v>
      </c>
      <c r="S11" s="42">
        <v>2464</v>
      </c>
      <c r="T11" s="21">
        <v>9489.86</v>
      </c>
      <c r="U11" s="19">
        <v>46</v>
      </c>
      <c r="V11" s="13">
        <v>355735.37999999995</v>
      </c>
      <c r="W11" s="14">
        <v>2.598358207663852E-2</v>
      </c>
      <c r="X11" s="19">
        <v>4</v>
      </c>
      <c r="Y11" s="19">
        <v>1</v>
      </c>
      <c r="Z11" s="19">
        <v>5</v>
      </c>
      <c r="AA11" s="15">
        <v>610.79</v>
      </c>
      <c r="AB11" s="25">
        <v>0.12195121951219512</v>
      </c>
      <c r="AC11" s="24">
        <v>4533028.7600000026</v>
      </c>
      <c r="AD11" s="20">
        <v>12.742698687996688</v>
      </c>
      <c r="AE11" s="20">
        <v>3</v>
      </c>
      <c r="AF11" s="19">
        <v>3</v>
      </c>
      <c r="AG11" s="19">
        <v>0</v>
      </c>
      <c r="AH11" s="19">
        <v>0</v>
      </c>
      <c r="AI11" s="19" t="s">
        <v>48</v>
      </c>
      <c r="AJ11" s="19" t="s">
        <v>48</v>
      </c>
      <c r="AK11" s="19" t="s">
        <v>48</v>
      </c>
      <c r="AL11" s="19" t="s">
        <v>48</v>
      </c>
      <c r="AM11" s="19" t="s">
        <v>49</v>
      </c>
      <c r="AN11" s="33" t="s">
        <v>48</v>
      </c>
      <c r="AO11" s="33" t="s">
        <v>48</v>
      </c>
      <c r="AP11" s="19" t="s">
        <v>48</v>
      </c>
      <c r="AQ11" s="19" t="s">
        <v>48</v>
      </c>
      <c r="AR11" s="19" t="s">
        <v>48</v>
      </c>
      <c r="AS11" s="19" t="s">
        <v>48</v>
      </c>
      <c r="AT11" s="19" t="s">
        <v>49</v>
      </c>
      <c r="AU11" s="19" t="s">
        <v>49</v>
      </c>
    </row>
    <row r="12" spans="1:47" x14ac:dyDescent="0.25">
      <c r="B12" s="15" t="s">
        <v>57</v>
      </c>
      <c r="C12" s="15">
        <v>0</v>
      </c>
      <c r="D12" s="15">
        <v>0</v>
      </c>
      <c r="E12" s="18">
        <v>0</v>
      </c>
      <c r="F12" s="19"/>
      <c r="G12" s="16" t="e">
        <v>#DIV/0!</v>
      </c>
      <c r="H12" s="19">
        <v>0</v>
      </c>
      <c r="I12" s="19">
        <v>0</v>
      </c>
      <c r="J12" s="15">
        <v>0</v>
      </c>
      <c r="K12" s="19">
        <v>0</v>
      </c>
      <c r="L12" s="15">
        <v>0</v>
      </c>
      <c r="M12" s="20" t="e">
        <v>#DIV/0!</v>
      </c>
      <c r="N12" s="21">
        <v>0</v>
      </c>
      <c r="O12" s="22" t="e">
        <v>#DIV/0!</v>
      </c>
      <c r="P12" s="23">
        <v>0</v>
      </c>
      <c r="Q12" s="23">
        <v>0</v>
      </c>
      <c r="R12" s="31">
        <v>0</v>
      </c>
      <c r="S12" s="24">
        <v>0</v>
      </c>
      <c r="T12" s="21">
        <v>0</v>
      </c>
      <c r="U12" s="19">
        <v>0</v>
      </c>
      <c r="V12" s="13">
        <v>0</v>
      </c>
      <c r="W12" s="14" t="e">
        <v>#DIV/0!</v>
      </c>
      <c r="X12" s="19">
        <v>0</v>
      </c>
      <c r="Y12" s="19">
        <v>0</v>
      </c>
      <c r="Z12" s="19">
        <v>0</v>
      </c>
      <c r="AA12" s="15">
        <v>0</v>
      </c>
      <c r="AB12" s="25" t="e">
        <v>#DIV/0!</v>
      </c>
      <c r="AC12" s="24">
        <v>0</v>
      </c>
      <c r="AD12" s="20" t="e">
        <v>#DIV/0!</v>
      </c>
      <c r="AE12" s="20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</row>
    <row r="13" spans="1:47" x14ac:dyDescent="0.25">
      <c r="B13" s="3" t="s">
        <v>58</v>
      </c>
      <c r="C13" s="61">
        <v>1407</v>
      </c>
      <c r="D13" s="58">
        <v>2777</v>
      </c>
      <c r="E13" s="58">
        <v>450847.50999999995</v>
      </c>
      <c r="F13" s="59">
        <v>1392</v>
      </c>
      <c r="G13" s="60">
        <v>0.98933901918976541</v>
      </c>
      <c r="H13" s="35">
        <v>2747</v>
      </c>
      <c r="I13" s="19">
        <v>15</v>
      </c>
      <c r="J13" s="15">
        <v>0</v>
      </c>
      <c r="K13" s="19">
        <v>1392</v>
      </c>
      <c r="L13" s="15">
        <v>30</v>
      </c>
      <c r="M13" s="20">
        <v>278.39999999999998</v>
      </c>
      <c r="N13" s="21">
        <v>16</v>
      </c>
      <c r="O13" s="22">
        <v>1.1494252873563218E-2</v>
      </c>
      <c r="P13" s="23">
        <v>0</v>
      </c>
      <c r="Q13" s="23">
        <v>2747</v>
      </c>
      <c r="R13" s="31">
        <v>0</v>
      </c>
      <c r="S13" s="24">
        <v>0</v>
      </c>
      <c r="T13" s="21">
        <v>0</v>
      </c>
      <c r="U13" s="19">
        <v>0</v>
      </c>
      <c r="V13" s="13">
        <v>0</v>
      </c>
      <c r="W13" s="14" t="e">
        <v>#DIV/0!</v>
      </c>
      <c r="X13" s="19">
        <v>4</v>
      </c>
      <c r="Y13" s="19">
        <v>0</v>
      </c>
      <c r="Z13" s="19">
        <v>4</v>
      </c>
      <c r="AA13" s="15">
        <v>1085.08</v>
      </c>
      <c r="AB13" s="25">
        <v>0.25</v>
      </c>
      <c r="AC13" s="24">
        <v>4702058.700000003</v>
      </c>
      <c r="AD13" s="20" t="e">
        <v>#DIV/0!</v>
      </c>
      <c r="AE13" s="20">
        <v>5</v>
      </c>
      <c r="AF13" s="19">
        <v>5</v>
      </c>
      <c r="AG13" s="19">
        <v>0</v>
      </c>
      <c r="AH13" s="19">
        <v>0</v>
      </c>
      <c r="AI13" s="19" t="s">
        <v>48</v>
      </c>
      <c r="AJ13" s="19" t="s">
        <v>48</v>
      </c>
      <c r="AK13" s="19" t="s">
        <v>48</v>
      </c>
      <c r="AL13" s="19" t="s">
        <v>48</v>
      </c>
      <c r="AM13" s="19" t="s">
        <v>48</v>
      </c>
      <c r="AN13" s="33" t="s">
        <v>48</v>
      </c>
      <c r="AO13" s="33" t="s">
        <v>48</v>
      </c>
      <c r="AP13" s="19" t="s">
        <v>48</v>
      </c>
      <c r="AQ13" s="19" t="s">
        <v>48</v>
      </c>
      <c r="AR13" s="19" t="s">
        <v>48</v>
      </c>
      <c r="AS13" s="19" t="s">
        <v>48</v>
      </c>
      <c r="AT13" s="19" t="s">
        <v>49</v>
      </c>
      <c r="AU13" s="19" t="s">
        <v>49</v>
      </c>
    </row>
    <row r="14" spans="1:47" x14ac:dyDescent="0.25">
      <c r="A14" s="73"/>
      <c r="B14" s="53" t="s">
        <v>59</v>
      </c>
      <c r="C14" s="55">
        <v>3243</v>
      </c>
      <c r="D14" s="55">
        <v>6445</v>
      </c>
      <c r="E14" s="55">
        <v>941886.80999999994</v>
      </c>
      <c r="F14" s="48">
        <v>3195</v>
      </c>
      <c r="G14" s="56">
        <v>0.98519888991674376</v>
      </c>
      <c r="H14" s="50">
        <v>6347</v>
      </c>
      <c r="I14" s="19">
        <v>48</v>
      </c>
      <c r="J14" s="15">
        <v>0</v>
      </c>
      <c r="K14" s="19">
        <v>3195</v>
      </c>
      <c r="L14" s="15">
        <v>98</v>
      </c>
      <c r="M14" s="20">
        <v>639</v>
      </c>
      <c r="N14" s="21">
        <v>103</v>
      </c>
      <c r="O14" s="22">
        <v>3.2237871674491395E-2</v>
      </c>
      <c r="P14" s="23">
        <v>0</v>
      </c>
      <c r="Q14" s="51">
        <v>3610</v>
      </c>
      <c r="R14" s="31">
        <v>446214.47000000009</v>
      </c>
      <c r="S14" s="36">
        <v>2737</v>
      </c>
      <c r="T14" s="48">
        <v>1522.5</v>
      </c>
      <c r="U14" s="48">
        <v>3</v>
      </c>
      <c r="V14" s="74">
        <v>444691.97000000009</v>
      </c>
      <c r="W14" s="56">
        <v>3.412036368968491E-3</v>
      </c>
      <c r="X14" s="48">
        <v>3</v>
      </c>
      <c r="Y14" s="48">
        <v>1</v>
      </c>
      <c r="Z14" s="48">
        <v>4</v>
      </c>
      <c r="AA14" s="54">
        <v>884.29</v>
      </c>
      <c r="AB14" s="75">
        <v>3.8834951456310676E-2</v>
      </c>
      <c r="AC14" s="49">
        <v>5406469.4600000018</v>
      </c>
      <c r="AD14" s="74">
        <v>12.157785219283364</v>
      </c>
      <c r="AE14" s="20">
        <v>5</v>
      </c>
      <c r="AF14" s="19">
        <v>5</v>
      </c>
      <c r="AG14" s="19">
        <v>0</v>
      </c>
      <c r="AH14" s="19">
        <v>0</v>
      </c>
      <c r="AI14" s="19" t="s">
        <v>48</v>
      </c>
      <c r="AJ14" s="19" t="s">
        <v>48</v>
      </c>
      <c r="AK14" s="19" t="s">
        <v>48</v>
      </c>
      <c r="AL14" s="19" t="s">
        <v>48</v>
      </c>
      <c r="AM14" s="19" t="s">
        <v>48</v>
      </c>
      <c r="AN14" s="33" t="s">
        <v>48</v>
      </c>
      <c r="AO14" s="33" t="s">
        <v>48</v>
      </c>
      <c r="AP14" s="19" t="s">
        <v>48</v>
      </c>
      <c r="AQ14" s="19" t="s">
        <v>48</v>
      </c>
      <c r="AR14" s="19" t="s">
        <v>48</v>
      </c>
      <c r="AS14" s="19" t="s">
        <v>48</v>
      </c>
      <c r="AT14" s="19" t="s">
        <v>49</v>
      </c>
      <c r="AU14" s="19" t="s">
        <v>49</v>
      </c>
    </row>
    <row r="15" spans="1:47" x14ac:dyDescent="0.25">
      <c r="A15" s="73"/>
      <c r="B15" s="53" t="s">
        <v>60</v>
      </c>
      <c r="C15" s="55">
        <v>1095</v>
      </c>
      <c r="D15" s="55">
        <v>1852</v>
      </c>
      <c r="E15" s="57">
        <v>330682.69</v>
      </c>
      <c r="F15" s="48">
        <v>1087</v>
      </c>
      <c r="G15" s="56">
        <v>0.9926940639269406</v>
      </c>
      <c r="H15" s="50">
        <v>1840</v>
      </c>
      <c r="I15" s="19">
        <v>8</v>
      </c>
      <c r="J15" s="15">
        <v>0</v>
      </c>
      <c r="K15" s="19">
        <v>1087</v>
      </c>
      <c r="L15" s="15">
        <v>12</v>
      </c>
      <c r="M15" s="20">
        <v>217.4</v>
      </c>
      <c r="N15" s="21">
        <v>58</v>
      </c>
      <c r="O15" s="22">
        <v>5.3357865685372582E-2</v>
      </c>
      <c r="P15" s="23">
        <v>0</v>
      </c>
      <c r="Q15" s="51">
        <v>-6304</v>
      </c>
      <c r="R15" s="31">
        <v>1254155.7200000011</v>
      </c>
      <c r="S15" s="46">
        <v>8144</v>
      </c>
      <c r="T15" s="48">
        <v>18685.939999999999</v>
      </c>
      <c r="U15" s="48">
        <v>167</v>
      </c>
      <c r="V15" s="74">
        <v>1235469.7800000012</v>
      </c>
      <c r="W15" s="56">
        <v>1.4899218416035276E-2</v>
      </c>
      <c r="X15" s="48">
        <v>6</v>
      </c>
      <c r="Y15" s="48">
        <v>0</v>
      </c>
      <c r="Z15" s="48">
        <v>6</v>
      </c>
      <c r="AA15" s="54">
        <v>2011.6100000000001</v>
      </c>
      <c r="AB15" s="75">
        <v>0.10344827586206896</v>
      </c>
      <c r="AC15" s="49">
        <v>5835062.2500000028</v>
      </c>
      <c r="AD15" s="74">
        <v>4.7229502044153575</v>
      </c>
      <c r="AE15" s="20">
        <v>5</v>
      </c>
      <c r="AF15" s="19">
        <v>5</v>
      </c>
      <c r="AG15" s="19">
        <v>0</v>
      </c>
      <c r="AH15" s="19">
        <v>0</v>
      </c>
      <c r="AI15" s="19" t="s">
        <v>48</v>
      </c>
      <c r="AJ15" s="19" t="s">
        <v>48</v>
      </c>
      <c r="AK15" s="19" t="s">
        <v>48</v>
      </c>
      <c r="AL15" s="19" t="s">
        <v>48</v>
      </c>
      <c r="AM15" s="19" t="s">
        <v>48</v>
      </c>
      <c r="AN15" s="33" t="s">
        <v>48</v>
      </c>
      <c r="AO15" s="33" t="s">
        <v>48</v>
      </c>
      <c r="AP15" s="19" t="s">
        <v>48</v>
      </c>
      <c r="AQ15" s="19" t="s">
        <v>48</v>
      </c>
      <c r="AR15" s="19" t="s">
        <v>48</v>
      </c>
      <c r="AS15" s="19" t="s">
        <v>48</v>
      </c>
      <c r="AT15" s="19" t="s">
        <v>49</v>
      </c>
      <c r="AU15" s="19" t="s">
        <v>49</v>
      </c>
    </row>
    <row r="16" spans="1:47" x14ac:dyDescent="0.25">
      <c r="B16" s="15" t="s">
        <v>61</v>
      </c>
      <c r="C16" s="27">
        <v>1080</v>
      </c>
      <c r="D16" s="27">
        <v>1879</v>
      </c>
      <c r="E16" s="18">
        <v>351396.63</v>
      </c>
      <c r="F16" s="19">
        <v>1065</v>
      </c>
      <c r="G16" s="16">
        <v>0.98611111111111116</v>
      </c>
      <c r="H16" s="43">
        <v>1855</v>
      </c>
      <c r="I16" s="19">
        <v>15</v>
      </c>
      <c r="J16" s="15">
        <v>0</v>
      </c>
      <c r="K16" s="19">
        <v>1065</v>
      </c>
      <c r="L16" s="15">
        <v>24</v>
      </c>
      <c r="M16" s="20">
        <v>213</v>
      </c>
      <c r="N16" s="21">
        <v>59</v>
      </c>
      <c r="O16" s="22">
        <v>5.539906103286385E-2</v>
      </c>
      <c r="P16" s="23">
        <v>0</v>
      </c>
      <c r="Q16" s="45">
        <v>-3</v>
      </c>
      <c r="R16" s="31">
        <v>346913.00999999995</v>
      </c>
      <c r="S16" s="44">
        <v>1858</v>
      </c>
      <c r="T16" s="21">
        <v>26483.97</v>
      </c>
      <c r="U16" s="19">
        <v>148</v>
      </c>
      <c r="V16" s="13">
        <v>320429.03999999992</v>
      </c>
      <c r="W16" s="14">
        <v>7.6341818371124234E-2</v>
      </c>
      <c r="X16" s="19">
        <v>4</v>
      </c>
      <c r="Y16" s="19">
        <v>0</v>
      </c>
      <c r="Z16" s="19">
        <v>4</v>
      </c>
      <c r="AA16" s="15">
        <v>3099.8099999999995</v>
      </c>
      <c r="AB16" s="25">
        <v>6.7796610169491525E-2</v>
      </c>
      <c r="AC16" s="24">
        <v>4848524.9699999951</v>
      </c>
      <c r="AD16" s="20">
        <v>15.131353169487998</v>
      </c>
      <c r="AE16" s="20">
        <v>5</v>
      </c>
      <c r="AF16" s="19">
        <v>5</v>
      </c>
      <c r="AG16" s="19">
        <v>0</v>
      </c>
      <c r="AH16" s="19">
        <v>0</v>
      </c>
      <c r="AI16" s="19" t="s">
        <v>48</v>
      </c>
      <c r="AJ16" s="19" t="s">
        <v>48</v>
      </c>
      <c r="AK16" s="19" t="s">
        <v>48</v>
      </c>
      <c r="AL16" s="19" t="s">
        <v>48</v>
      </c>
      <c r="AM16" s="19" t="s">
        <v>48</v>
      </c>
      <c r="AN16" s="33" t="s">
        <v>48</v>
      </c>
      <c r="AO16" s="33" t="s">
        <v>48</v>
      </c>
      <c r="AP16" s="19" t="s">
        <v>48</v>
      </c>
      <c r="AQ16" s="19" t="s">
        <v>48</v>
      </c>
      <c r="AR16" s="19" t="s">
        <v>48</v>
      </c>
      <c r="AS16" s="19" t="s">
        <v>48</v>
      </c>
      <c r="AT16" s="19" t="s">
        <v>49</v>
      </c>
      <c r="AU16" s="19" t="s">
        <v>49</v>
      </c>
    </row>
    <row r="17" spans="2:47" x14ac:dyDescent="0.25">
      <c r="B17" s="15" t="s">
        <v>62</v>
      </c>
      <c r="C17" s="27">
        <v>890</v>
      </c>
      <c r="D17" s="27">
        <v>1739</v>
      </c>
      <c r="E17" s="27">
        <v>295382.58000000007</v>
      </c>
      <c r="F17" s="19">
        <v>881</v>
      </c>
      <c r="G17" s="16">
        <v>0.98988764044943822</v>
      </c>
      <c r="H17" s="48">
        <v>1722</v>
      </c>
      <c r="I17" s="19">
        <v>9</v>
      </c>
      <c r="J17" s="15">
        <v>0</v>
      </c>
      <c r="K17" s="19">
        <v>881</v>
      </c>
      <c r="L17" s="15">
        <v>17</v>
      </c>
      <c r="M17" s="20">
        <v>176.2</v>
      </c>
      <c r="N17" s="21">
        <v>70</v>
      </c>
      <c r="O17" s="22">
        <v>7.9455164585698068E-2</v>
      </c>
      <c r="P17" s="23">
        <v>0</v>
      </c>
      <c r="Q17" s="23">
        <v>0</v>
      </c>
      <c r="R17" s="31">
        <v>292315.53000000003</v>
      </c>
      <c r="S17" s="49">
        <v>1722</v>
      </c>
      <c r="T17" s="21">
        <v>890.34</v>
      </c>
      <c r="U17" s="19">
        <v>4</v>
      </c>
      <c r="V17" s="13">
        <v>291425.19</v>
      </c>
      <c r="W17" s="14">
        <v>3.0458183319921456E-3</v>
      </c>
      <c r="X17" s="19">
        <v>1</v>
      </c>
      <c r="Y17" s="19">
        <v>0</v>
      </c>
      <c r="Z17" s="19">
        <v>1</v>
      </c>
      <c r="AA17" s="15">
        <v>285.08999999999997</v>
      </c>
      <c r="AB17" s="25">
        <v>1.4285714285714285E-2</v>
      </c>
      <c r="AC17" s="24">
        <v>5277377.9099999974</v>
      </c>
      <c r="AD17" s="20">
        <v>18.108859807211577</v>
      </c>
      <c r="AE17" s="20">
        <v>5</v>
      </c>
      <c r="AF17" s="19">
        <v>5</v>
      </c>
      <c r="AG17" s="19">
        <v>0</v>
      </c>
      <c r="AH17" s="19">
        <v>0</v>
      </c>
      <c r="AI17" s="19" t="s">
        <v>63</v>
      </c>
      <c r="AJ17" s="19" t="s">
        <v>48</v>
      </c>
      <c r="AK17" s="19" t="s">
        <v>48</v>
      </c>
      <c r="AL17" s="19" t="s">
        <v>48</v>
      </c>
      <c r="AM17" s="19" t="s">
        <v>48</v>
      </c>
      <c r="AN17" s="33" t="s">
        <v>48</v>
      </c>
      <c r="AO17" s="33" t="s">
        <v>48</v>
      </c>
      <c r="AP17" s="19" t="s">
        <v>48</v>
      </c>
      <c r="AQ17" s="19" t="s">
        <v>48</v>
      </c>
      <c r="AR17" s="19" t="s">
        <v>48</v>
      </c>
      <c r="AS17" s="19" t="s">
        <v>48</v>
      </c>
      <c r="AT17" s="19" t="s">
        <v>49</v>
      </c>
      <c r="AU17" s="19" t="s">
        <v>49</v>
      </c>
    </row>
    <row r="18" spans="2:47" x14ac:dyDescent="0.25">
      <c r="B18" s="15" t="s">
        <v>64</v>
      </c>
      <c r="C18" s="27">
        <v>0</v>
      </c>
      <c r="D18" s="27">
        <v>0</v>
      </c>
      <c r="E18" s="18">
        <v>0</v>
      </c>
      <c r="F18" s="19">
        <v>0</v>
      </c>
      <c r="G18" s="16" t="e">
        <v>#DIV/0!</v>
      </c>
      <c r="H18" s="19">
        <v>0</v>
      </c>
      <c r="I18" s="19">
        <v>0</v>
      </c>
      <c r="J18" s="15">
        <v>0</v>
      </c>
      <c r="K18" s="19">
        <v>0</v>
      </c>
      <c r="L18" s="15">
        <v>0</v>
      </c>
      <c r="M18" s="20" t="e">
        <v>#DIV/0!</v>
      </c>
      <c r="N18" s="21">
        <v>0</v>
      </c>
      <c r="O18" s="22" t="e">
        <v>#DIV/0!</v>
      </c>
      <c r="P18" s="23">
        <v>0</v>
      </c>
      <c r="Q18" s="23">
        <v>0</v>
      </c>
      <c r="R18" s="31">
        <v>0</v>
      </c>
      <c r="S18" s="24">
        <v>0</v>
      </c>
      <c r="T18" s="21">
        <v>35656.300000000003</v>
      </c>
      <c r="U18" s="19">
        <v>241</v>
      </c>
      <c r="V18" s="13">
        <v>-35656.300000000003</v>
      </c>
      <c r="W18" s="14" t="e">
        <v>#DIV/0!</v>
      </c>
      <c r="X18" s="19">
        <v>0</v>
      </c>
      <c r="Y18" s="19">
        <v>0</v>
      </c>
      <c r="Z18" s="19">
        <v>0</v>
      </c>
      <c r="AA18" s="15">
        <v>0</v>
      </c>
      <c r="AB18" s="25" t="e">
        <v>#DIV/0!</v>
      </c>
      <c r="AC18" s="24">
        <v>5277377.9099999974</v>
      </c>
      <c r="AD18" s="20">
        <v>-148.00688545923151</v>
      </c>
      <c r="AE18" s="20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</row>
    <row r="19" spans="2:47" x14ac:dyDescent="0.25">
      <c r="B19" s="15" t="s">
        <v>65</v>
      </c>
      <c r="C19" s="27">
        <v>0</v>
      </c>
      <c r="D19" s="27">
        <v>0</v>
      </c>
      <c r="E19" s="18">
        <v>0</v>
      </c>
      <c r="F19" s="19">
        <v>0</v>
      </c>
      <c r="G19" s="16" t="e">
        <v>#DIV/0!</v>
      </c>
      <c r="H19" s="19">
        <v>0</v>
      </c>
      <c r="I19" s="19">
        <v>0</v>
      </c>
      <c r="J19" s="15">
        <v>0</v>
      </c>
      <c r="K19" s="19">
        <v>0</v>
      </c>
      <c r="L19" s="15">
        <v>0</v>
      </c>
      <c r="M19" s="20" t="e">
        <v>#DIV/0!</v>
      </c>
      <c r="N19" s="21">
        <v>0</v>
      </c>
      <c r="O19" s="22" t="e">
        <v>#DIV/0!</v>
      </c>
      <c r="P19" s="23">
        <v>0</v>
      </c>
      <c r="Q19" s="23">
        <v>0</v>
      </c>
      <c r="R19" s="31">
        <v>0</v>
      </c>
      <c r="S19" s="24">
        <v>0</v>
      </c>
      <c r="T19" s="21">
        <v>0</v>
      </c>
      <c r="U19" s="19">
        <v>0</v>
      </c>
      <c r="V19" s="13">
        <v>0</v>
      </c>
      <c r="W19" s="14" t="e">
        <v>#DIV/0!</v>
      </c>
      <c r="X19" s="19">
        <v>0</v>
      </c>
      <c r="Y19" s="19">
        <v>0</v>
      </c>
      <c r="Z19" s="19">
        <v>0</v>
      </c>
      <c r="AA19" s="15">
        <v>0</v>
      </c>
      <c r="AB19" s="25" t="e">
        <v>#DIV/0!</v>
      </c>
      <c r="AC19" s="24">
        <v>5277377.9099999974</v>
      </c>
      <c r="AD19" s="20" t="e">
        <v>#DIV/0!</v>
      </c>
      <c r="AE19" s="20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33">
        <v>0</v>
      </c>
      <c r="AO19" s="33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</row>
    <row r="20" spans="2:47" x14ac:dyDescent="0.25">
      <c r="B20" s="15" t="s">
        <v>66</v>
      </c>
      <c r="C20" s="27">
        <v>2023</v>
      </c>
      <c r="D20" s="27">
        <v>4057</v>
      </c>
      <c r="E20" s="18">
        <v>1026445.44</v>
      </c>
      <c r="F20" s="19">
        <v>1995</v>
      </c>
      <c r="G20" s="16">
        <v>0.98615916955017302</v>
      </c>
      <c r="H20" s="38">
        <v>3998</v>
      </c>
      <c r="I20" s="19">
        <v>28</v>
      </c>
      <c r="J20" s="15">
        <v>0</v>
      </c>
      <c r="K20" s="19">
        <v>1995</v>
      </c>
      <c r="L20" s="15">
        <v>59</v>
      </c>
      <c r="M20" s="20">
        <v>399</v>
      </c>
      <c r="N20" s="21">
        <v>138</v>
      </c>
      <c r="O20" s="22">
        <v>6.9172932330827067E-2</v>
      </c>
      <c r="P20" s="23">
        <v>0</v>
      </c>
      <c r="Q20" s="23">
        <v>1455</v>
      </c>
      <c r="R20" s="31">
        <v>390905.39999999991</v>
      </c>
      <c r="S20" s="47">
        <v>2543</v>
      </c>
      <c r="T20" s="21">
        <v>30342.49</v>
      </c>
      <c r="U20" s="19">
        <v>145</v>
      </c>
      <c r="V20" s="13">
        <v>360562.90999999992</v>
      </c>
      <c r="W20" s="14">
        <v>7.7621056142995234E-2</v>
      </c>
      <c r="X20" s="19">
        <v>15</v>
      </c>
      <c r="Y20" s="19">
        <v>1</v>
      </c>
      <c r="Z20" s="19">
        <v>16</v>
      </c>
      <c r="AA20" s="15">
        <v>4142.1099999999997</v>
      </c>
      <c r="AB20" s="25">
        <v>0.11594202898550725</v>
      </c>
      <c r="AC20" s="24">
        <v>5097643.6199999982</v>
      </c>
      <c r="AD20" s="20">
        <v>14.138014417511771</v>
      </c>
      <c r="AE20" s="20">
        <v>5</v>
      </c>
      <c r="AF20" s="19">
        <v>5</v>
      </c>
      <c r="AG20" s="19">
        <v>0</v>
      </c>
      <c r="AH20" s="19">
        <v>0</v>
      </c>
      <c r="AI20" s="19" t="s">
        <v>48</v>
      </c>
      <c r="AJ20" s="19" t="s">
        <v>48</v>
      </c>
      <c r="AK20" s="19" t="s">
        <v>48</v>
      </c>
      <c r="AL20" s="19" t="s">
        <v>48</v>
      </c>
      <c r="AM20" s="19" t="s">
        <v>48</v>
      </c>
      <c r="AN20" s="33" t="s">
        <v>48</v>
      </c>
      <c r="AO20" s="33" t="s">
        <v>48</v>
      </c>
      <c r="AP20" s="19" t="s">
        <v>48</v>
      </c>
      <c r="AQ20" s="19" t="s">
        <v>48</v>
      </c>
      <c r="AR20" s="19" t="s">
        <v>48</v>
      </c>
      <c r="AS20" s="19" t="s">
        <v>48</v>
      </c>
      <c r="AT20" s="19" t="s">
        <v>49</v>
      </c>
      <c r="AU20" s="19" t="s">
        <v>49</v>
      </c>
    </row>
    <row r="21" spans="2:47" x14ac:dyDescent="0.25">
      <c r="B21" s="15" t="s">
        <v>67</v>
      </c>
      <c r="C21" s="27"/>
      <c r="D21" s="27"/>
      <c r="E21" s="18"/>
      <c r="F21" s="19"/>
      <c r="G21" s="16" t="e">
        <v>#DIV/0!</v>
      </c>
      <c r="H21" s="19"/>
      <c r="I21" s="19"/>
      <c r="J21" s="15">
        <v>0</v>
      </c>
      <c r="K21" s="19">
        <v>0</v>
      </c>
      <c r="L21" s="15"/>
      <c r="M21" s="20" t="e">
        <v>#DIV/0!</v>
      </c>
      <c r="N21" s="21"/>
      <c r="O21" s="22" t="e">
        <v>#DIV/0!</v>
      </c>
      <c r="P21" s="23">
        <v>0</v>
      </c>
      <c r="Q21" s="23">
        <v>-1455</v>
      </c>
      <c r="R21" s="31">
        <v>268863.8899999999</v>
      </c>
      <c r="S21" s="47">
        <v>1455</v>
      </c>
      <c r="T21" s="21">
        <v>153.5</v>
      </c>
      <c r="U21" s="19">
        <v>1</v>
      </c>
      <c r="V21" s="13">
        <v>268710.3899999999</v>
      </c>
      <c r="W21" s="14">
        <v>5.7092084771964008E-4</v>
      </c>
      <c r="X21" s="19"/>
      <c r="Y21" s="19"/>
      <c r="Z21" s="19">
        <v>0</v>
      </c>
      <c r="AA21" s="15"/>
      <c r="AB21" s="25" t="e">
        <v>#DIV/0!</v>
      </c>
      <c r="AC21" s="24">
        <v>4922547.9400000013</v>
      </c>
      <c r="AD21" s="20">
        <v>18.319157439353212</v>
      </c>
      <c r="AE21" s="20">
        <v>0</v>
      </c>
      <c r="AF21" s="19"/>
      <c r="AG21" s="19">
        <v>0</v>
      </c>
      <c r="AH21" s="19">
        <v>0</v>
      </c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</row>
    <row r="22" spans="2:47" x14ac:dyDescent="0.25">
      <c r="B22" s="15" t="s">
        <v>68</v>
      </c>
      <c r="C22" s="27"/>
      <c r="D22" s="27"/>
      <c r="E22" s="18"/>
      <c r="F22" s="19"/>
      <c r="G22" s="16" t="e">
        <v>#DIV/0!</v>
      </c>
      <c r="H22" s="19"/>
      <c r="I22" s="19"/>
      <c r="J22" s="15">
        <v>0</v>
      </c>
      <c r="K22" s="19">
        <v>0</v>
      </c>
      <c r="L22" s="15"/>
      <c r="M22" s="20" t="e">
        <v>#DIV/0!</v>
      </c>
      <c r="N22" s="21"/>
      <c r="O22" s="22" t="e">
        <v>#DIV/0!</v>
      </c>
      <c r="P22" s="23">
        <v>0</v>
      </c>
      <c r="Q22" s="23">
        <v>0</v>
      </c>
      <c r="R22" s="31"/>
      <c r="S22" s="24"/>
      <c r="T22" s="21"/>
      <c r="U22" s="19"/>
      <c r="V22" s="13">
        <v>0</v>
      </c>
      <c r="W22" s="14" t="e">
        <v>#DIV/0!</v>
      </c>
      <c r="X22" s="19"/>
      <c r="Y22" s="19"/>
      <c r="Z22" s="19">
        <v>0</v>
      </c>
      <c r="AA22" s="15"/>
      <c r="AB22" s="25" t="e">
        <v>#DIV/0!</v>
      </c>
      <c r="AC22" s="24"/>
      <c r="AD22" s="20" t="e">
        <v>#DIV/0!</v>
      </c>
      <c r="AE22" s="20">
        <v>0</v>
      </c>
      <c r="AF22" s="19"/>
      <c r="AG22" s="19">
        <v>0</v>
      </c>
      <c r="AH22" s="19">
        <v>0</v>
      </c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</row>
    <row r="23" spans="2:47" x14ac:dyDescent="0.25">
      <c r="B23" s="15" t="s">
        <v>69</v>
      </c>
      <c r="C23" s="27"/>
      <c r="D23" s="27"/>
      <c r="E23" s="18"/>
      <c r="F23" s="19"/>
      <c r="G23" s="16" t="e">
        <v>#DIV/0!</v>
      </c>
      <c r="H23" s="19"/>
      <c r="I23" s="19"/>
      <c r="J23" s="15">
        <v>0</v>
      </c>
      <c r="K23" s="19">
        <v>0</v>
      </c>
      <c r="L23" s="15"/>
      <c r="M23" s="20" t="e">
        <v>#DIV/0!</v>
      </c>
      <c r="N23" s="21"/>
      <c r="O23" s="22" t="e">
        <v>#DIV/0!</v>
      </c>
      <c r="P23" s="23">
        <v>0</v>
      </c>
      <c r="Q23" s="23">
        <v>0</v>
      </c>
      <c r="R23" s="31"/>
      <c r="S23" s="24"/>
      <c r="T23" s="21"/>
      <c r="U23" s="19"/>
      <c r="V23" s="13">
        <v>0</v>
      </c>
      <c r="W23" s="14" t="e">
        <v>#DIV/0!</v>
      </c>
      <c r="X23" s="19"/>
      <c r="Y23" s="19"/>
      <c r="Z23" s="19">
        <v>0</v>
      </c>
      <c r="AA23" s="15"/>
      <c r="AB23" s="25" t="e">
        <v>#DIV/0!</v>
      </c>
      <c r="AC23" s="24"/>
      <c r="AD23" s="20" t="e">
        <v>#DIV/0!</v>
      </c>
      <c r="AE23" s="20">
        <v>0</v>
      </c>
      <c r="AF23" s="19"/>
      <c r="AG23" s="19">
        <v>0</v>
      </c>
      <c r="AH23" s="19">
        <v>0</v>
      </c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</row>
    <row r="24" spans="2:47" x14ac:dyDescent="0.25">
      <c r="B24" s="15" t="s">
        <v>70</v>
      </c>
      <c r="C24" s="27"/>
      <c r="D24" s="27"/>
      <c r="E24" s="18"/>
      <c r="F24" s="19"/>
      <c r="G24" s="16" t="e">
        <v>#DIV/0!</v>
      </c>
      <c r="H24" s="19"/>
      <c r="I24" s="19"/>
      <c r="J24" s="15">
        <v>0</v>
      </c>
      <c r="K24" s="19">
        <v>0</v>
      </c>
      <c r="L24" s="15"/>
      <c r="M24" s="20" t="e">
        <v>#DIV/0!</v>
      </c>
      <c r="N24" s="21"/>
      <c r="O24" s="22" t="e">
        <v>#DIV/0!</v>
      </c>
      <c r="P24" s="23">
        <v>0</v>
      </c>
      <c r="Q24" s="23">
        <v>0</v>
      </c>
      <c r="R24" s="31"/>
      <c r="S24" s="24"/>
      <c r="T24" s="21"/>
      <c r="U24" s="19"/>
      <c r="V24" s="13">
        <v>0</v>
      </c>
      <c r="W24" s="14" t="e">
        <v>#DIV/0!</v>
      </c>
      <c r="X24" s="19"/>
      <c r="Y24" s="19"/>
      <c r="Z24" s="19">
        <v>0</v>
      </c>
      <c r="AA24" s="15"/>
      <c r="AB24" s="25" t="e">
        <v>#DIV/0!</v>
      </c>
      <c r="AC24" s="24"/>
      <c r="AD24" s="20" t="e">
        <v>#DIV/0!</v>
      </c>
      <c r="AE24" s="20">
        <v>0</v>
      </c>
      <c r="AF24" s="19"/>
      <c r="AG24" s="19">
        <v>0</v>
      </c>
      <c r="AH24" s="19">
        <v>0</v>
      </c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</row>
    <row r="25" spans="2:47" x14ac:dyDescent="0.25">
      <c r="B25" s="15" t="s">
        <v>71</v>
      </c>
      <c r="C25" s="27"/>
      <c r="D25" s="27"/>
      <c r="E25" s="18"/>
      <c r="F25" s="19"/>
      <c r="G25" s="16" t="e">
        <v>#DIV/0!</v>
      </c>
      <c r="H25" s="19"/>
      <c r="I25" s="19"/>
      <c r="J25" s="15">
        <v>0</v>
      </c>
      <c r="K25" s="19">
        <v>0</v>
      </c>
      <c r="L25" s="15"/>
      <c r="M25" s="20" t="e">
        <v>#DIV/0!</v>
      </c>
      <c r="N25" s="21"/>
      <c r="O25" s="22" t="e">
        <v>#DIV/0!</v>
      </c>
      <c r="P25" s="23">
        <v>0</v>
      </c>
      <c r="Q25" s="23">
        <v>0</v>
      </c>
      <c r="R25" s="31"/>
      <c r="S25" s="24"/>
      <c r="T25" s="21"/>
      <c r="U25" s="19"/>
      <c r="V25" s="13">
        <v>0</v>
      </c>
      <c r="W25" s="14" t="e">
        <v>#DIV/0!</v>
      </c>
      <c r="X25" s="19"/>
      <c r="Y25" s="19"/>
      <c r="Z25" s="19">
        <v>0</v>
      </c>
      <c r="AA25" s="15"/>
      <c r="AB25" s="25" t="e">
        <v>#DIV/0!</v>
      </c>
      <c r="AC25" s="24"/>
      <c r="AD25" s="20" t="e">
        <v>#DIV/0!</v>
      </c>
      <c r="AE25" s="20">
        <v>0</v>
      </c>
      <c r="AF25" s="19"/>
      <c r="AG25" s="19">
        <v>0</v>
      </c>
      <c r="AH25" s="19">
        <v>0</v>
      </c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</row>
    <row r="26" spans="2:47" x14ac:dyDescent="0.25">
      <c r="B26" s="15" t="s">
        <v>72</v>
      </c>
      <c r="C26" s="27"/>
      <c r="D26" s="27"/>
      <c r="E26" s="18"/>
      <c r="F26" s="19"/>
      <c r="G26" s="16" t="e">
        <v>#DIV/0!</v>
      </c>
      <c r="H26" s="19"/>
      <c r="I26" s="19"/>
      <c r="J26" s="15">
        <v>0</v>
      </c>
      <c r="K26" s="19">
        <v>0</v>
      </c>
      <c r="L26" s="15"/>
      <c r="M26" s="20" t="e">
        <v>#DIV/0!</v>
      </c>
      <c r="N26" s="21"/>
      <c r="O26" s="22" t="e">
        <v>#DIV/0!</v>
      </c>
      <c r="P26" s="23">
        <v>0</v>
      </c>
      <c r="Q26" s="23">
        <v>0</v>
      </c>
      <c r="R26" s="31"/>
      <c r="S26" s="24"/>
      <c r="T26" s="21"/>
      <c r="U26" s="19"/>
      <c r="V26" s="13">
        <v>0</v>
      </c>
      <c r="W26" s="14" t="e">
        <v>#DIV/0!</v>
      </c>
      <c r="X26" s="19"/>
      <c r="Y26" s="19"/>
      <c r="Z26" s="19">
        <v>0</v>
      </c>
      <c r="AA26" s="15"/>
      <c r="AB26" s="25" t="e">
        <v>#DIV/0!</v>
      </c>
      <c r="AC26" s="24"/>
      <c r="AD26" s="20" t="e">
        <v>#DIV/0!</v>
      </c>
      <c r="AE26" s="20">
        <v>0</v>
      </c>
      <c r="AF26" s="19"/>
      <c r="AG26" s="19">
        <v>0</v>
      </c>
      <c r="AH26" s="19">
        <v>0</v>
      </c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</row>
    <row r="27" spans="2:47" x14ac:dyDescent="0.25">
      <c r="B27" s="15" t="s">
        <v>73</v>
      </c>
      <c r="C27" s="27"/>
      <c r="D27" s="18"/>
      <c r="E27" s="19"/>
      <c r="F27" s="19"/>
      <c r="G27" s="16" t="e">
        <v>#DIV/0!</v>
      </c>
      <c r="H27" s="19"/>
      <c r="I27" s="19"/>
      <c r="J27" s="15">
        <v>0</v>
      </c>
      <c r="K27" s="19">
        <v>0</v>
      </c>
      <c r="L27" s="15"/>
      <c r="M27" s="20" t="e">
        <v>#DIV/0!</v>
      </c>
      <c r="N27" s="21"/>
      <c r="O27" s="22" t="e">
        <v>#DIV/0!</v>
      </c>
      <c r="P27" s="23">
        <v>0</v>
      </c>
      <c r="Q27" s="23">
        <v>0</v>
      </c>
      <c r="R27" s="31"/>
      <c r="S27" s="24"/>
      <c r="T27" s="21"/>
      <c r="U27" s="19"/>
      <c r="V27" s="13">
        <v>0</v>
      </c>
      <c r="W27" s="14" t="e">
        <v>#DIV/0!</v>
      </c>
      <c r="X27" s="19"/>
      <c r="Y27" s="19"/>
      <c r="Z27" s="19">
        <v>0</v>
      </c>
      <c r="AA27" s="15"/>
      <c r="AB27" s="25" t="e">
        <v>#DIV/0!</v>
      </c>
      <c r="AC27" s="24"/>
      <c r="AD27" s="20" t="e">
        <v>#DIV/0!</v>
      </c>
      <c r="AE27" s="20">
        <v>0</v>
      </c>
      <c r="AF27" s="19"/>
      <c r="AG27" s="19">
        <v>0</v>
      </c>
      <c r="AH27" s="19">
        <v>0</v>
      </c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</row>
    <row r="28" spans="2:47" x14ac:dyDescent="0.25">
      <c r="B28" s="15" t="s">
        <v>74</v>
      </c>
      <c r="C28" s="18"/>
      <c r="D28" s="18"/>
      <c r="E28" s="18"/>
      <c r="F28" s="19"/>
      <c r="G28" s="16" t="e">
        <v>#DIV/0!</v>
      </c>
      <c r="H28" s="19"/>
      <c r="I28" s="19"/>
      <c r="J28" s="15">
        <v>0</v>
      </c>
      <c r="K28" s="19">
        <v>0</v>
      </c>
      <c r="L28" s="15"/>
      <c r="M28" s="20" t="e">
        <v>#DIV/0!</v>
      </c>
      <c r="N28" s="21"/>
      <c r="O28" s="22" t="e">
        <v>#DIV/0!</v>
      </c>
      <c r="P28" s="23">
        <v>0</v>
      </c>
      <c r="Q28" s="23">
        <v>0</v>
      </c>
      <c r="R28" s="31"/>
      <c r="S28" s="24"/>
      <c r="T28" s="21"/>
      <c r="U28" s="19"/>
      <c r="V28" s="13">
        <v>0</v>
      </c>
      <c r="W28" s="14" t="e">
        <v>#DIV/0!</v>
      </c>
      <c r="X28" s="19"/>
      <c r="Y28" s="19"/>
      <c r="Z28" s="19">
        <v>0</v>
      </c>
      <c r="AA28" s="15"/>
      <c r="AB28" s="25" t="e">
        <v>#DIV/0!</v>
      </c>
      <c r="AC28" s="24"/>
      <c r="AD28" s="20" t="e">
        <v>#DIV/0!</v>
      </c>
      <c r="AE28" s="20">
        <v>0</v>
      </c>
      <c r="AF28" s="19"/>
      <c r="AG28" s="19">
        <v>0</v>
      </c>
      <c r="AH28" s="19">
        <v>0</v>
      </c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</row>
    <row r="29" spans="2:47" x14ac:dyDescent="0.25">
      <c r="B29" s="15" t="s">
        <v>75</v>
      </c>
      <c r="C29" s="18"/>
      <c r="D29" s="18"/>
      <c r="E29" s="18"/>
      <c r="F29" s="19"/>
      <c r="G29" s="16" t="e">
        <v>#DIV/0!</v>
      </c>
      <c r="H29" s="19"/>
      <c r="I29" s="19"/>
      <c r="J29" s="15">
        <v>0</v>
      </c>
      <c r="K29" s="19">
        <v>0</v>
      </c>
      <c r="L29" s="15"/>
      <c r="M29" s="20" t="e">
        <v>#DIV/0!</v>
      </c>
      <c r="N29" s="21"/>
      <c r="O29" s="22" t="e">
        <v>#DIV/0!</v>
      </c>
      <c r="P29" s="23">
        <v>0</v>
      </c>
      <c r="Q29" s="23">
        <v>0</v>
      </c>
      <c r="R29" s="31"/>
      <c r="S29" s="24"/>
      <c r="T29" s="21"/>
      <c r="U29" s="19"/>
      <c r="V29" s="13">
        <v>0</v>
      </c>
      <c r="W29" s="14" t="e">
        <v>#DIV/0!</v>
      </c>
      <c r="X29" s="19"/>
      <c r="Y29" s="19"/>
      <c r="Z29" s="19">
        <v>0</v>
      </c>
      <c r="AA29" s="15"/>
      <c r="AB29" s="25" t="e">
        <v>#DIV/0!</v>
      </c>
      <c r="AC29" s="24"/>
      <c r="AD29" s="20" t="e">
        <v>#DIV/0!</v>
      </c>
      <c r="AE29" s="20">
        <v>0</v>
      </c>
      <c r="AF29" s="19"/>
      <c r="AG29" s="19">
        <v>0</v>
      </c>
      <c r="AH29" s="19">
        <v>0</v>
      </c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</row>
    <row r="30" spans="2:47" x14ac:dyDescent="0.25">
      <c r="B30" s="15" t="s">
        <v>76</v>
      </c>
      <c r="C30" s="27"/>
      <c r="D30" s="27"/>
      <c r="E30" s="18"/>
      <c r="F30" s="19"/>
      <c r="G30" s="16" t="e">
        <v>#DIV/0!</v>
      </c>
      <c r="H30" s="19"/>
      <c r="I30" s="19"/>
      <c r="J30" s="15">
        <v>0</v>
      </c>
      <c r="K30" s="19">
        <v>0</v>
      </c>
      <c r="L30" s="15"/>
      <c r="M30" s="20" t="e">
        <v>#DIV/0!</v>
      </c>
      <c r="N30" s="21"/>
      <c r="O30" s="22" t="e">
        <v>#DIV/0!</v>
      </c>
      <c r="P30" s="23">
        <v>0</v>
      </c>
      <c r="Q30" s="23">
        <v>0</v>
      </c>
      <c r="R30" s="31"/>
      <c r="S30" s="24"/>
      <c r="T30" s="21"/>
      <c r="U30" s="19"/>
      <c r="V30" s="13">
        <v>0</v>
      </c>
      <c r="W30" s="14" t="e">
        <v>#DIV/0!</v>
      </c>
      <c r="X30" s="19"/>
      <c r="Y30" s="19"/>
      <c r="Z30" s="19">
        <v>0</v>
      </c>
      <c r="AA30" s="15"/>
      <c r="AB30" s="25" t="e">
        <v>#DIV/0!</v>
      </c>
      <c r="AC30" s="24"/>
      <c r="AD30" s="20" t="e">
        <v>#DIV/0!</v>
      </c>
      <c r="AE30" s="20">
        <v>0</v>
      </c>
      <c r="AF30" s="19"/>
      <c r="AG30" s="19">
        <v>0</v>
      </c>
      <c r="AH30" s="19">
        <v>0</v>
      </c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</row>
    <row r="31" spans="2:47" x14ac:dyDescent="0.25">
      <c r="B31" s="15" t="s">
        <v>77</v>
      </c>
      <c r="C31" s="27"/>
      <c r="D31" s="27"/>
      <c r="E31" s="18"/>
      <c r="F31" s="19"/>
      <c r="G31" s="16" t="e">
        <v>#DIV/0!</v>
      </c>
      <c r="H31" s="19"/>
      <c r="I31" s="19"/>
      <c r="J31" s="15">
        <v>0</v>
      </c>
      <c r="K31" s="19">
        <v>0</v>
      </c>
      <c r="L31" s="15"/>
      <c r="M31" s="20" t="e">
        <v>#DIV/0!</v>
      </c>
      <c r="N31" s="21"/>
      <c r="O31" s="22" t="e">
        <v>#DIV/0!</v>
      </c>
      <c r="P31" s="23">
        <v>0</v>
      </c>
      <c r="Q31" s="23">
        <v>0</v>
      </c>
      <c r="R31" s="31"/>
      <c r="S31" s="24"/>
      <c r="T31" s="21"/>
      <c r="U31" s="19"/>
      <c r="V31" s="13">
        <v>0</v>
      </c>
      <c r="W31" s="14" t="e">
        <v>#DIV/0!</v>
      </c>
      <c r="X31" s="19"/>
      <c r="Y31" s="19"/>
      <c r="Z31" s="19">
        <v>0</v>
      </c>
      <c r="AA31" s="15"/>
      <c r="AB31" s="25" t="e">
        <v>#DIV/0!</v>
      </c>
      <c r="AC31" s="24"/>
      <c r="AD31" s="20" t="e">
        <v>#DIV/0!</v>
      </c>
      <c r="AE31" s="20">
        <v>0</v>
      </c>
      <c r="AF31" s="19"/>
      <c r="AG31" s="19">
        <v>0</v>
      </c>
      <c r="AH31" s="19">
        <v>0</v>
      </c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</row>
    <row r="32" spans="2:47" x14ac:dyDescent="0.25">
      <c r="B32" s="15" t="s">
        <v>78</v>
      </c>
      <c r="C32" s="27"/>
      <c r="D32" s="27"/>
      <c r="E32" s="18"/>
      <c r="F32" s="19"/>
      <c r="G32" s="16" t="e">
        <v>#DIV/0!</v>
      </c>
      <c r="H32" s="19"/>
      <c r="I32" s="19"/>
      <c r="J32" s="15">
        <v>0</v>
      </c>
      <c r="K32" s="19">
        <v>0</v>
      </c>
      <c r="L32" s="15"/>
      <c r="M32" s="20" t="e">
        <v>#DIV/0!</v>
      </c>
      <c r="N32" s="21"/>
      <c r="O32" s="22" t="e">
        <v>#DIV/0!</v>
      </c>
      <c r="P32" s="23">
        <v>0</v>
      </c>
      <c r="Q32" s="23">
        <v>0</v>
      </c>
      <c r="R32" s="31"/>
      <c r="S32" s="24"/>
      <c r="T32" s="21"/>
      <c r="U32" s="19"/>
      <c r="V32" s="13">
        <v>0</v>
      </c>
      <c r="W32" s="14" t="e">
        <v>#DIV/0!</v>
      </c>
      <c r="X32" s="19"/>
      <c r="Y32" s="19"/>
      <c r="Z32" s="19">
        <v>0</v>
      </c>
      <c r="AA32" s="15"/>
      <c r="AB32" s="25" t="e">
        <v>#DIV/0!</v>
      </c>
      <c r="AC32" s="24"/>
      <c r="AD32" s="20" t="e">
        <v>#DIV/0!</v>
      </c>
      <c r="AE32" s="20">
        <v>0</v>
      </c>
      <c r="AF32" s="19"/>
      <c r="AG32" s="19">
        <v>0</v>
      </c>
      <c r="AH32" s="19">
        <v>0</v>
      </c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</row>
    <row r="33" spans="2:47" x14ac:dyDescent="0.25">
      <c r="B33" s="15" t="s">
        <v>79</v>
      </c>
      <c r="C33" s="27"/>
      <c r="D33" s="27"/>
      <c r="E33" s="18"/>
      <c r="F33" s="19"/>
      <c r="G33" s="16" t="e">
        <v>#DIV/0!</v>
      </c>
      <c r="H33" s="19"/>
      <c r="I33" s="19"/>
      <c r="J33" s="15">
        <v>0</v>
      </c>
      <c r="K33" s="19">
        <v>0</v>
      </c>
      <c r="L33" s="15"/>
      <c r="M33" s="20" t="e">
        <v>#DIV/0!</v>
      </c>
      <c r="N33" s="21"/>
      <c r="O33" s="22" t="e">
        <v>#DIV/0!</v>
      </c>
      <c r="P33" s="23">
        <v>0</v>
      </c>
      <c r="Q33" s="23">
        <v>0</v>
      </c>
      <c r="R33" s="31"/>
      <c r="S33" s="24"/>
      <c r="T33" s="21"/>
      <c r="U33" s="19"/>
      <c r="V33" s="13">
        <v>0</v>
      </c>
      <c r="W33" s="14" t="e">
        <v>#DIV/0!</v>
      </c>
      <c r="X33" s="19"/>
      <c r="Y33" s="19"/>
      <c r="Z33" s="19">
        <v>0</v>
      </c>
      <c r="AA33" s="15"/>
      <c r="AB33" s="25" t="e">
        <v>#DIV/0!</v>
      </c>
      <c r="AC33" s="24"/>
      <c r="AD33" s="20" t="e">
        <v>#DIV/0!</v>
      </c>
      <c r="AE33" s="20">
        <v>0</v>
      </c>
      <c r="AF33" s="19"/>
      <c r="AG33" s="19">
        <v>0</v>
      </c>
      <c r="AH33" s="19">
        <v>0</v>
      </c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</row>
    <row r="34" spans="2:47" x14ac:dyDescent="0.25">
      <c r="B34" s="15" t="s">
        <v>80</v>
      </c>
      <c r="C34" s="27"/>
      <c r="D34" s="27"/>
      <c r="E34" s="18"/>
      <c r="F34" s="19"/>
      <c r="G34" s="16" t="e">
        <v>#DIV/0!</v>
      </c>
      <c r="H34" s="19"/>
      <c r="I34" s="19"/>
      <c r="J34" s="15">
        <v>0</v>
      </c>
      <c r="K34" s="19">
        <v>0</v>
      </c>
      <c r="L34" s="15"/>
      <c r="M34" s="20" t="e">
        <v>#DIV/0!</v>
      </c>
      <c r="N34" s="21"/>
      <c r="O34" s="22" t="e">
        <v>#DIV/0!</v>
      </c>
      <c r="P34" s="23">
        <v>0</v>
      </c>
      <c r="Q34" s="23">
        <v>0</v>
      </c>
      <c r="R34" s="31"/>
      <c r="S34" s="24"/>
      <c r="T34" s="21"/>
      <c r="U34" s="19"/>
      <c r="V34" s="13">
        <v>0</v>
      </c>
      <c r="W34" s="14" t="e">
        <v>#DIV/0!</v>
      </c>
      <c r="X34" s="19"/>
      <c r="Y34" s="19"/>
      <c r="Z34" s="19">
        <v>0</v>
      </c>
      <c r="AA34" s="15"/>
      <c r="AB34" s="25" t="e">
        <v>#DIV/0!</v>
      </c>
      <c r="AC34" s="24"/>
      <c r="AD34" s="20" t="e">
        <v>#DIV/0!</v>
      </c>
      <c r="AE34" s="20">
        <v>0</v>
      </c>
      <c r="AF34" s="19"/>
      <c r="AG34" s="19">
        <v>0</v>
      </c>
      <c r="AH34" s="19">
        <v>0</v>
      </c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</row>
    <row r="35" spans="2:47" x14ac:dyDescent="0.25">
      <c r="B35" s="3" t="s">
        <v>81</v>
      </c>
      <c r="C35" s="5">
        <v>17946</v>
      </c>
      <c r="D35" s="5">
        <v>33346</v>
      </c>
      <c r="E35" s="5">
        <v>6156432.3900000006</v>
      </c>
      <c r="F35" s="4">
        <v>17686</v>
      </c>
      <c r="G35" s="12">
        <v>0.98551209183104871</v>
      </c>
      <c r="H35" s="4"/>
      <c r="I35" s="4">
        <v>260</v>
      </c>
      <c r="J35" s="4">
        <v>0</v>
      </c>
      <c r="K35" s="4">
        <v>17686</v>
      </c>
      <c r="L35" s="4">
        <v>458</v>
      </c>
      <c r="M35" s="7">
        <v>327.51851851851853</v>
      </c>
      <c r="N35" s="4">
        <v>789</v>
      </c>
      <c r="O35" s="10">
        <v>4.4611557163858416E-2</v>
      </c>
      <c r="P35" s="4">
        <v>0</v>
      </c>
      <c r="Q35" s="4">
        <v>53</v>
      </c>
      <c r="R35" s="32">
        <v>5640508.9800000014</v>
      </c>
      <c r="S35" s="4">
        <v>32835</v>
      </c>
      <c r="T35" s="4">
        <v>205883.44</v>
      </c>
      <c r="U35" s="4">
        <v>1385</v>
      </c>
      <c r="V35" s="4">
        <v>5434625.5400000028</v>
      </c>
      <c r="W35" s="11">
        <v>3.6500862019725029E-2</v>
      </c>
      <c r="X35" s="4">
        <v>71</v>
      </c>
      <c r="Y35" s="4">
        <v>5</v>
      </c>
      <c r="Z35" s="4">
        <v>76</v>
      </c>
      <c r="AA35" s="4">
        <v>22932.41</v>
      </c>
      <c r="AB35" s="11">
        <v>9.632446134347275E-2</v>
      </c>
      <c r="AC35" s="5">
        <v>79961972.829999998</v>
      </c>
      <c r="AD35" s="7">
        <v>14.713428228212381</v>
      </c>
      <c r="AE35" s="4">
        <v>54</v>
      </c>
      <c r="AF35" s="4">
        <v>54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/>
      <c r="AT35" s="4">
        <v>0</v>
      </c>
      <c r="AU35" s="4">
        <v>0</v>
      </c>
    </row>
    <row r="36" spans="2:47" x14ac:dyDescent="0.25">
      <c r="B36" s="1"/>
      <c r="C36" s="1"/>
      <c r="D36" s="1"/>
      <c r="E36" s="1"/>
      <c r="F36" s="1"/>
      <c r="G36" s="1"/>
      <c r="H36" s="1"/>
      <c r="I36" s="1"/>
      <c r="J36" s="1"/>
      <c r="K36" s="28"/>
      <c r="L36" s="1"/>
      <c r="M36" s="1"/>
      <c r="N36" s="1"/>
      <c r="O36" s="1"/>
      <c r="P36" s="1"/>
      <c r="Q36" s="1"/>
      <c r="R36" s="1"/>
      <c r="S36" s="1"/>
      <c r="T36" s="1"/>
      <c r="U36" s="1"/>
      <c r="V36" s="29"/>
      <c r="W36" s="29"/>
      <c r="X36" s="1"/>
      <c r="Y36" s="1"/>
      <c r="Z36" s="1"/>
      <c r="AA36" s="1"/>
      <c r="AB36" s="1"/>
      <c r="AC36" s="29">
        <v>4442331.8238888886</v>
      </c>
      <c r="AD36" s="17" t="e">
        <v>#DIV/0!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2:47" x14ac:dyDescent="0.25">
      <c r="B37" s="1"/>
      <c r="C37" s="1"/>
      <c r="D37" s="1"/>
      <c r="E37" s="1"/>
      <c r="F37" s="1"/>
      <c r="G37" s="1"/>
      <c r="H37" s="1"/>
      <c r="I37" s="1"/>
      <c r="J37" s="1"/>
      <c r="K37" s="28"/>
      <c r="L37" s="1"/>
      <c r="M37" s="1"/>
      <c r="N37" s="1"/>
      <c r="O37" s="1"/>
      <c r="P37" s="30"/>
      <c r="Q37" s="1"/>
      <c r="R37" s="1"/>
      <c r="S37" s="1"/>
      <c r="T37" s="1"/>
      <c r="U37" s="1"/>
      <c r="V37" s="29"/>
      <c r="W37" s="29"/>
      <c r="X37" s="1"/>
      <c r="Y37" s="1"/>
      <c r="Z37" s="1"/>
      <c r="AA37" s="1"/>
      <c r="AB37" s="1"/>
      <c r="AC37" s="29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2:47" x14ac:dyDescent="0.25">
      <c r="B38" s="1"/>
      <c r="C38" s="1"/>
      <c r="D38" s="1"/>
      <c r="E38" s="1"/>
      <c r="F38" s="1"/>
      <c r="G38" s="1"/>
      <c r="H38" s="1"/>
      <c r="I38" s="1"/>
      <c r="J38" s="1"/>
      <c r="K38" s="28"/>
      <c r="L38" s="1"/>
      <c r="M38" s="1"/>
      <c r="N38" s="1"/>
      <c r="O38" s="1"/>
      <c r="P38" s="30"/>
      <c r="Q38" s="1"/>
      <c r="R38" s="1"/>
      <c r="S38" s="1"/>
      <c r="T38" s="1"/>
      <c r="U38" s="1"/>
      <c r="V38" s="29"/>
      <c r="W38" s="29"/>
      <c r="X38" s="1"/>
      <c r="Y38" s="1"/>
      <c r="Z38" s="1"/>
      <c r="AA38" s="1"/>
      <c r="AB38" s="1"/>
      <c r="AC38" s="29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2:47" x14ac:dyDescent="0.25">
      <c r="B39" s="1"/>
      <c r="C39" s="1"/>
      <c r="D39" s="1"/>
      <c r="E39" s="1"/>
      <c r="F39" s="1"/>
      <c r="G39" s="1"/>
      <c r="H39" s="1"/>
      <c r="I39" s="1"/>
      <c r="J39" s="1"/>
      <c r="K39" s="28"/>
      <c r="L39" s="1"/>
      <c r="M39" s="1"/>
      <c r="N39" s="1"/>
      <c r="O39" s="1"/>
      <c r="P39" s="30"/>
      <c r="Q39" s="1"/>
      <c r="R39" s="1"/>
      <c r="S39" s="1"/>
      <c r="T39" s="1"/>
      <c r="U39" s="1"/>
      <c r="V39" s="29"/>
      <c r="W39" s="29"/>
      <c r="X39" s="1"/>
      <c r="Y39" s="1"/>
      <c r="Z39" s="1"/>
      <c r="AA39" s="1"/>
      <c r="AB39" s="1"/>
      <c r="AC39" s="29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2:47" x14ac:dyDescent="0.25">
      <c r="B40" s="1"/>
      <c r="C40" s="1"/>
      <c r="D40" s="1"/>
      <c r="E40" s="1"/>
      <c r="F40" s="1"/>
      <c r="G40" s="1"/>
      <c r="H40" s="1"/>
      <c r="I40" s="1"/>
      <c r="J40" s="1"/>
      <c r="K40" s="28"/>
      <c r="L40" s="1"/>
      <c r="M40" s="1"/>
      <c r="N40" s="1"/>
      <c r="O40" s="1"/>
      <c r="P40" s="30"/>
      <c r="Q40" s="1"/>
      <c r="R40" s="1"/>
      <c r="S40" s="1"/>
      <c r="T40" s="1"/>
      <c r="U40" s="1"/>
      <c r="V40" s="29"/>
      <c r="W40" s="29"/>
      <c r="X40" s="1"/>
      <c r="Y40" s="1"/>
      <c r="Z40" s="1"/>
      <c r="AA40" s="1"/>
      <c r="AB40" s="1"/>
      <c r="AC40" s="29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2:47" x14ac:dyDescent="0.25">
      <c r="B41" s="3" t="s">
        <v>82</v>
      </c>
      <c r="C41" s="3" t="s">
        <v>83</v>
      </c>
      <c r="D41" s="3" t="s">
        <v>84</v>
      </c>
      <c r="E41" s="3" t="s">
        <v>85</v>
      </c>
      <c r="F41" s="3" t="s">
        <v>86</v>
      </c>
      <c r="G41" s="3" t="s">
        <v>25</v>
      </c>
      <c r="H41" s="3" t="s">
        <v>87</v>
      </c>
      <c r="I41" s="3" t="s">
        <v>88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2:47" x14ac:dyDescent="0.25">
      <c r="B42" s="15" t="s">
        <v>89</v>
      </c>
      <c r="C42" s="15">
        <v>497</v>
      </c>
      <c r="D42" s="15">
        <v>945</v>
      </c>
      <c r="E42" s="15">
        <v>269400.38</v>
      </c>
      <c r="F42" s="15">
        <v>3</v>
      </c>
      <c r="G42" s="15">
        <v>942</v>
      </c>
      <c r="H42" s="15">
        <v>3</v>
      </c>
      <c r="I42" s="15">
        <v>494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2:47" x14ac:dyDescent="0.25">
      <c r="B43" s="15" t="s">
        <v>90</v>
      </c>
      <c r="C43" s="15">
        <v>264</v>
      </c>
      <c r="D43" s="15">
        <v>526</v>
      </c>
      <c r="E43" s="15">
        <v>84989.180000000008</v>
      </c>
      <c r="F43" s="15">
        <v>13</v>
      </c>
      <c r="G43" s="15">
        <v>513</v>
      </c>
      <c r="H43" s="15">
        <v>6</v>
      </c>
      <c r="I43" s="15">
        <v>258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29"/>
      <c r="W43" s="29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2:47" x14ac:dyDescent="0.25">
      <c r="B44" s="15" t="s">
        <v>91</v>
      </c>
      <c r="C44" s="15">
        <v>1262</v>
      </c>
      <c r="D44" s="15">
        <v>2586</v>
      </c>
      <c r="E44" s="15">
        <v>672055.87999999989</v>
      </c>
      <c r="F44" s="15">
        <v>43</v>
      </c>
      <c r="G44" s="15">
        <v>2543</v>
      </c>
      <c r="H44" s="15">
        <v>19</v>
      </c>
      <c r="I44" s="15">
        <v>1243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29"/>
      <c r="W44" s="29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2:47" x14ac:dyDescent="0.25">
      <c r="B45" s="15" t="s">
        <v>91</v>
      </c>
      <c r="C45" s="15"/>
      <c r="D45" s="15"/>
      <c r="E45" s="15"/>
      <c r="F45" s="15"/>
      <c r="G45" s="15">
        <v>0</v>
      </c>
      <c r="H45" s="15"/>
      <c r="I45" s="15">
        <v>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29"/>
      <c r="W45" s="29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2:47" x14ac:dyDescent="0.25">
      <c r="B46" s="15" t="s">
        <v>81</v>
      </c>
      <c r="C46" s="15">
        <v>2023</v>
      </c>
      <c r="D46" s="15">
        <v>4057</v>
      </c>
      <c r="E46" s="15">
        <v>1026445.44</v>
      </c>
      <c r="F46" s="15">
        <v>59</v>
      </c>
      <c r="G46" s="15">
        <v>3998</v>
      </c>
      <c r="H46" s="15">
        <v>28</v>
      </c>
      <c r="I46" s="15">
        <v>1995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</sheetData>
  <pageMargins left="0.7" right="0.7" top="0.75" bottom="0.75" header="0.3" footer="0.3"/>
  <pageSetup paperSize="256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7"/>
  <sheetViews>
    <sheetView workbookViewId="0">
      <selection activeCell="G41" sqref="G41"/>
    </sheetView>
  </sheetViews>
  <sheetFormatPr defaultRowHeight="15" x14ac:dyDescent="0.25"/>
  <cols>
    <col min="1" max="2" width="17.5703125" bestFit="1" customWidth="1"/>
    <col min="3" max="3" width="15.140625" bestFit="1" customWidth="1"/>
    <col min="4" max="4" width="18.140625" bestFit="1" customWidth="1"/>
    <col min="5" max="5" width="16" bestFit="1" customWidth="1"/>
    <col min="6" max="6" width="9" bestFit="1" customWidth="1"/>
    <col min="7" max="7" width="44.5703125" bestFit="1" customWidth="1"/>
    <col min="8" max="8" width="46.28515625" bestFit="1" customWidth="1"/>
    <col min="9" max="9" width="8.42578125" bestFit="1" customWidth="1"/>
  </cols>
  <sheetData>
    <row r="1" spans="1:9" x14ac:dyDescent="0.25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99</v>
      </c>
      <c r="G1" t="s">
        <v>97</v>
      </c>
      <c r="H1" t="s">
        <v>98</v>
      </c>
      <c r="I1" t="s">
        <v>100</v>
      </c>
    </row>
    <row r="2" spans="1:9" x14ac:dyDescent="0.25">
      <c r="A2" t="s">
        <v>101</v>
      </c>
      <c r="B2" t="s">
        <v>101</v>
      </c>
      <c r="C2" s="9">
        <v>46245</v>
      </c>
      <c r="E2" t="s">
        <v>102</v>
      </c>
      <c r="F2">
        <v>80864296</v>
      </c>
      <c r="G2" t="s">
        <v>103</v>
      </c>
      <c r="H2" t="s">
        <v>104</v>
      </c>
      <c r="I2">
        <v>6</v>
      </c>
    </row>
    <row r="3" spans="1:9" x14ac:dyDescent="0.25">
      <c r="A3" t="s">
        <v>101</v>
      </c>
      <c r="B3" t="s">
        <v>101</v>
      </c>
      <c r="C3" s="9">
        <v>46245</v>
      </c>
      <c r="E3" t="s">
        <v>102</v>
      </c>
      <c r="F3">
        <v>80840352</v>
      </c>
      <c r="G3" t="s">
        <v>105</v>
      </c>
      <c r="H3" t="s">
        <v>106</v>
      </c>
      <c r="I3">
        <v>2</v>
      </c>
    </row>
    <row r="4" spans="1:9" x14ac:dyDescent="0.25">
      <c r="A4" t="s">
        <v>107</v>
      </c>
      <c r="B4" t="s">
        <v>107</v>
      </c>
      <c r="C4" s="9">
        <v>46245</v>
      </c>
      <c r="E4" t="s">
        <v>102</v>
      </c>
      <c r="F4">
        <v>80832389</v>
      </c>
      <c r="G4" t="s">
        <v>108</v>
      </c>
      <c r="H4" t="s">
        <v>109</v>
      </c>
      <c r="I4">
        <v>1</v>
      </c>
    </row>
    <row r="5" spans="1:9" x14ac:dyDescent="0.25">
      <c r="A5" t="s">
        <v>101</v>
      </c>
      <c r="B5" t="s">
        <v>101</v>
      </c>
      <c r="C5" s="9">
        <v>46245</v>
      </c>
      <c r="E5" t="s">
        <v>102</v>
      </c>
      <c r="F5">
        <v>80832389</v>
      </c>
      <c r="G5" t="s">
        <v>108</v>
      </c>
      <c r="H5" t="s">
        <v>109</v>
      </c>
      <c r="I5">
        <v>4</v>
      </c>
    </row>
    <row r="6" spans="1:9" x14ac:dyDescent="0.25">
      <c r="A6" t="s">
        <v>101</v>
      </c>
      <c r="B6" t="s">
        <v>101</v>
      </c>
      <c r="C6" s="9">
        <v>46245</v>
      </c>
      <c r="E6" t="s">
        <v>102</v>
      </c>
      <c r="F6">
        <v>80875513</v>
      </c>
      <c r="G6" t="s">
        <v>110</v>
      </c>
      <c r="H6" t="s">
        <v>111</v>
      </c>
      <c r="I6">
        <v>9</v>
      </c>
    </row>
    <row r="7" spans="1:9" x14ac:dyDescent="0.25">
      <c r="A7" t="s">
        <v>107</v>
      </c>
      <c r="B7" t="s">
        <v>107</v>
      </c>
      <c r="C7" s="9">
        <v>46245</v>
      </c>
      <c r="E7" t="s">
        <v>102</v>
      </c>
      <c r="F7">
        <v>80875513</v>
      </c>
      <c r="G7" t="s">
        <v>110</v>
      </c>
      <c r="H7" t="s">
        <v>111</v>
      </c>
      <c r="I7">
        <v>1</v>
      </c>
    </row>
    <row r="8" spans="1:9" x14ac:dyDescent="0.25">
      <c r="A8" t="s">
        <v>107</v>
      </c>
      <c r="B8" t="s">
        <v>107</v>
      </c>
      <c r="C8" s="9">
        <v>46245</v>
      </c>
      <c r="E8" t="s">
        <v>102</v>
      </c>
      <c r="F8">
        <v>80864297</v>
      </c>
      <c r="G8" t="s">
        <v>112</v>
      </c>
      <c r="H8" t="s">
        <v>113</v>
      </c>
      <c r="I8">
        <v>40</v>
      </c>
    </row>
    <row r="9" spans="1:9" x14ac:dyDescent="0.25">
      <c r="A9" t="s">
        <v>101</v>
      </c>
      <c r="B9" t="s">
        <v>101</v>
      </c>
      <c r="C9" s="9">
        <v>46245</v>
      </c>
      <c r="E9" t="s">
        <v>102</v>
      </c>
      <c r="F9">
        <v>80864297</v>
      </c>
      <c r="G9" t="s">
        <v>112</v>
      </c>
      <c r="H9" t="s">
        <v>113</v>
      </c>
      <c r="I9">
        <v>72</v>
      </c>
    </row>
    <row r="10" spans="1:9" x14ac:dyDescent="0.25">
      <c r="A10" t="s">
        <v>101</v>
      </c>
      <c r="B10" t="s">
        <v>101</v>
      </c>
      <c r="C10" s="9">
        <v>46245</v>
      </c>
      <c r="E10" t="s">
        <v>102</v>
      </c>
      <c r="F10">
        <v>80840354</v>
      </c>
      <c r="G10" t="s">
        <v>114</v>
      </c>
      <c r="H10" t="s">
        <v>115</v>
      </c>
      <c r="I10">
        <v>7</v>
      </c>
    </row>
    <row r="11" spans="1:9" x14ac:dyDescent="0.25">
      <c r="A11" t="s">
        <v>107</v>
      </c>
      <c r="B11" t="s">
        <v>107</v>
      </c>
      <c r="C11" s="9">
        <v>46245</v>
      </c>
      <c r="E11" t="s">
        <v>102</v>
      </c>
      <c r="F11">
        <v>80840354</v>
      </c>
      <c r="G11" t="s">
        <v>114</v>
      </c>
      <c r="H11" t="s">
        <v>115</v>
      </c>
      <c r="I11">
        <v>9</v>
      </c>
    </row>
    <row r="12" spans="1:9" x14ac:dyDescent="0.25">
      <c r="A12" t="s">
        <v>107</v>
      </c>
      <c r="B12" t="s">
        <v>107</v>
      </c>
      <c r="C12" s="9">
        <v>46245</v>
      </c>
      <c r="E12" t="s">
        <v>102</v>
      </c>
      <c r="F12">
        <v>80832398</v>
      </c>
      <c r="G12" t="s">
        <v>116</v>
      </c>
      <c r="H12" t="s">
        <v>117</v>
      </c>
      <c r="I12">
        <v>4</v>
      </c>
    </row>
    <row r="13" spans="1:9" x14ac:dyDescent="0.25">
      <c r="A13" t="s">
        <v>101</v>
      </c>
      <c r="B13" t="s">
        <v>101</v>
      </c>
      <c r="C13" s="9">
        <v>46245</v>
      </c>
      <c r="E13" t="s">
        <v>102</v>
      </c>
      <c r="F13">
        <v>80832398</v>
      </c>
      <c r="G13" t="s">
        <v>116</v>
      </c>
      <c r="H13" t="s">
        <v>117</v>
      </c>
      <c r="I13">
        <v>4</v>
      </c>
    </row>
    <row r="14" spans="1:9" x14ac:dyDescent="0.25">
      <c r="A14" t="s">
        <v>101</v>
      </c>
      <c r="B14" t="s">
        <v>101</v>
      </c>
      <c r="C14" s="9">
        <v>46245</v>
      </c>
      <c r="E14" t="s">
        <v>102</v>
      </c>
      <c r="F14">
        <v>80832394</v>
      </c>
      <c r="G14" t="s">
        <v>118</v>
      </c>
      <c r="H14" t="s">
        <v>119</v>
      </c>
      <c r="I14">
        <v>3</v>
      </c>
    </row>
    <row r="15" spans="1:9" x14ac:dyDescent="0.25">
      <c r="A15" t="s">
        <v>101</v>
      </c>
      <c r="B15" t="s">
        <v>101</v>
      </c>
      <c r="C15" s="9">
        <v>46245</v>
      </c>
      <c r="E15" t="s">
        <v>102</v>
      </c>
      <c r="F15">
        <v>80867316</v>
      </c>
      <c r="G15" t="s">
        <v>120</v>
      </c>
      <c r="H15" t="s">
        <v>121</v>
      </c>
      <c r="I15">
        <v>8</v>
      </c>
    </row>
    <row r="16" spans="1:9" x14ac:dyDescent="0.25">
      <c r="A16" t="s">
        <v>107</v>
      </c>
      <c r="B16" t="s">
        <v>107</v>
      </c>
      <c r="C16" s="9">
        <v>46245</v>
      </c>
      <c r="E16" t="s">
        <v>102</v>
      </c>
      <c r="F16">
        <v>83904003</v>
      </c>
      <c r="G16" t="s">
        <v>122</v>
      </c>
      <c r="H16" t="s">
        <v>123</v>
      </c>
      <c r="I16">
        <v>20</v>
      </c>
    </row>
    <row r="17" spans="1:9" x14ac:dyDescent="0.25">
      <c r="A17" t="s">
        <v>101</v>
      </c>
      <c r="B17" t="s">
        <v>101</v>
      </c>
      <c r="C17" s="9">
        <v>46245</v>
      </c>
      <c r="E17" t="s">
        <v>102</v>
      </c>
      <c r="F17">
        <v>83904003</v>
      </c>
      <c r="G17" t="s">
        <v>122</v>
      </c>
      <c r="H17" t="s">
        <v>123</v>
      </c>
      <c r="I17">
        <v>12</v>
      </c>
    </row>
    <row r="18" spans="1:9" x14ac:dyDescent="0.25">
      <c r="A18" t="s">
        <v>101</v>
      </c>
      <c r="B18" t="s">
        <v>101</v>
      </c>
      <c r="C18" s="9">
        <v>46245</v>
      </c>
      <c r="E18" t="s">
        <v>102</v>
      </c>
      <c r="F18">
        <v>80876082</v>
      </c>
      <c r="G18" t="s">
        <v>124</v>
      </c>
      <c r="H18" t="s">
        <v>125</v>
      </c>
      <c r="I18">
        <v>2</v>
      </c>
    </row>
    <row r="19" spans="1:9" x14ac:dyDescent="0.25">
      <c r="A19" t="s">
        <v>107</v>
      </c>
      <c r="B19" t="s">
        <v>107</v>
      </c>
      <c r="C19" s="9">
        <v>46245</v>
      </c>
      <c r="E19" t="s">
        <v>102</v>
      </c>
      <c r="F19">
        <v>80803710</v>
      </c>
      <c r="G19" t="s">
        <v>126</v>
      </c>
      <c r="H19" t="s">
        <v>127</v>
      </c>
      <c r="I19">
        <v>1</v>
      </c>
    </row>
    <row r="20" spans="1:9" x14ac:dyDescent="0.25">
      <c r="A20" t="s">
        <v>107</v>
      </c>
      <c r="B20" t="s">
        <v>107</v>
      </c>
      <c r="C20" s="9">
        <v>46245</v>
      </c>
      <c r="E20" t="s">
        <v>102</v>
      </c>
      <c r="F20">
        <v>80864300</v>
      </c>
      <c r="G20" t="s">
        <v>128</v>
      </c>
      <c r="H20" t="s">
        <v>129</v>
      </c>
      <c r="I20">
        <v>10</v>
      </c>
    </row>
    <row r="21" spans="1:9" x14ac:dyDescent="0.25">
      <c r="A21" t="s">
        <v>101</v>
      </c>
      <c r="B21" t="s">
        <v>101</v>
      </c>
      <c r="C21" s="9">
        <v>46245</v>
      </c>
      <c r="E21" t="s">
        <v>102</v>
      </c>
      <c r="F21">
        <v>80864300</v>
      </c>
      <c r="G21" t="s">
        <v>128</v>
      </c>
      <c r="H21" t="s">
        <v>129</v>
      </c>
      <c r="I21">
        <v>2</v>
      </c>
    </row>
    <row r="22" spans="1:9" x14ac:dyDescent="0.25">
      <c r="A22" t="s">
        <v>101</v>
      </c>
      <c r="B22" t="s">
        <v>101</v>
      </c>
      <c r="C22" s="9">
        <v>46245</v>
      </c>
      <c r="E22" t="s">
        <v>102</v>
      </c>
      <c r="F22">
        <v>80875507</v>
      </c>
      <c r="G22" t="s">
        <v>130</v>
      </c>
      <c r="H22" t="s">
        <v>131</v>
      </c>
      <c r="I22">
        <v>2</v>
      </c>
    </row>
    <row r="23" spans="1:9" x14ac:dyDescent="0.25">
      <c r="A23" t="s">
        <v>101</v>
      </c>
      <c r="B23" t="s">
        <v>101</v>
      </c>
      <c r="C23" s="9">
        <v>46245</v>
      </c>
      <c r="E23" t="s">
        <v>102</v>
      </c>
      <c r="F23">
        <v>80818341</v>
      </c>
      <c r="G23" t="s">
        <v>132</v>
      </c>
      <c r="H23" t="s">
        <v>133</v>
      </c>
      <c r="I23">
        <v>3</v>
      </c>
    </row>
    <row r="24" spans="1:9" x14ac:dyDescent="0.25">
      <c r="A24" t="s">
        <v>101</v>
      </c>
      <c r="B24" t="s">
        <v>101</v>
      </c>
      <c r="C24" s="9">
        <v>46245</v>
      </c>
      <c r="E24" t="s">
        <v>102</v>
      </c>
      <c r="F24">
        <v>80895603</v>
      </c>
      <c r="G24" t="s">
        <v>134</v>
      </c>
      <c r="H24" t="s">
        <v>135</v>
      </c>
      <c r="I24">
        <v>2</v>
      </c>
    </row>
    <row r="25" spans="1:9" x14ac:dyDescent="0.25">
      <c r="A25" t="s">
        <v>101</v>
      </c>
      <c r="B25" t="s">
        <v>101</v>
      </c>
      <c r="C25" s="9">
        <v>46245</v>
      </c>
      <c r="E25" t="s">
        <v>102</v>
      </c>
      <c r="F25">
        <v>80843635</v>
      </c>
      <c r="G25" t="s">
        <v>136</v>
      </c>
      <c r="H25" t="s">
        <v>137</v>
      </c>
      <c r="I25">
        <v>1</v>
      </c>
    </row>
    <row r="26" spans="1:9" x14ac:dyDescent="0.25">
      <c r="A26" t="s">
        <v>107</v>
      </c>
      <c r="B26" t="s">
        <v>107</v>
      </c>
      <c r="C26" s="9">
        <v>46245</v>
      </c>
      <c r="E26" t="s">
        <v>102</v>
      </c>
      <c r="F26">
        <v>80865298</v>
      </c>
      <c r="G26" t="s">
        <v>138</v>
      </c>
      <c r="H26" t="s">
        <v>139</v>
      </c>
      <c r="I26">
        <v>1</v>
      </c>
    </row>
    <row r="27" spans="1:9" x14ac:dyDescent="0.25">
      <c r="A27" t="s">
        <v>101</v>
      </c>
      <c r="B27" t="s">
        <v>101</v>
      </c>
      <c r="C27" s="9">
        <v>46245</v>
      </c>
      <c r="E27" t="s">
        <v>102</v>
      </c>
      <c r="F27">
        <v>80866729</v>
      </c>
      <c r="G27" t="s">
        <v>140</v>
      </c>
      <c r="H27" t="s">
        <v>141</v>
      </c>
      <c r="I27">
        <v>101</v>
      </c>
    </row>
    <row r="28" spans="1:9" x14ac:dyDescent="0.25">
      <c r="A28" t="s">
        <v>107</v>
      </c>
      <c r="B28" t="s">
        <v>107</v>
      </c>
      <c r="C28" s="9">
        <v>46245</v>
      </c>
      <c r="E28" t="s">
        <v>102</v>
      </c>
      <c r="F28">
        <v>80866729</v>
      </c>
      <c r="G28" t="s">
        <v>140</v>
      </c>
      <c r="H28" t="s">
        <v>141</v>
      </c>
      <c r="I28">
        <v>20</v>
      </c>
    </row>
    <row r="29" spans="1:9" x14ac:dyDescent="0.25">
      <c r="A29" t="s">
        <v>101</v>
      </c>
      <c r="B29" t="s">
        <v>101</v>
      </c>
      <c r="C29" s="9">
        <v>46245</v>
      </c>
      <c r="E29" t="s">
        <v>102</v>
      </c>
      <c r="F29">
        <v>80866723</v>
      </c>
      <c r="G29" t="s">
        <v>142</v>
      </c>
      <c r="H29" t="s">
        <v>143</v>
      </c>
      <c r="I29">
        <v>44</v>
      </c>
    </row>
    <row r="30" spans="1:9" x14ac:dyDescent="0.25">
      <c r="A30" t="s">
        <v>107</v>
      </c>
      <c r="B30" t="s">
        <v>107</v>
      </c>
      <c r="C30" s="9">
        <v>46245</v>
      </c>
      <c r="E30" t="s">
        <v>102</v>
      </c>
      <c r="F30">
        <v>80866723</v>
      </c>
      <c r="G30" t="s">
        <v>142</v>
      </c>
      <c r="H30" t="s">
        <v>143</v>
      </c>
      <c r="I30">
        <v>12</v>
      </c>
    </row>
    <row r="31" spans="1:9" x14ac:dyDescent="0.25">
      <c r="A31" t="s">
        <v>107</v>
      </c>
      <c r="B31" t="s">
        <v>107</v>
      </c>
      <c r="C31" s="9">
        <v>46245</v>
      </c>
      <c r="E31" t="s">
        <v>102</v>
      </c>
      <c r="F31">
        <v>80866728</v>
      </c>
      <c r="G31" t="s">
        <v>144</v>
      </c>
      <c r="H31" t="s">
        <v>145</v>
      </c>
      <c r="I31">
        <v>1</v>
      </c>
    </row>
    <row r="32" spans="1:9" x14ac:dyDescent="0.25">
      <c r="A32" t="s">
        <v>101</v>
      </c>
      <c r="B32" t="s">
        <v>101</v>
      </c>
      <c r="C32" s="9">
        <v>46245</v>
      </c>
      <c r="E32" t="s">
        <v>102</v>
      </c>
      <c r="F32">
        <v>80866728</v>
      </c>
      <c r="G32" t="s">
        <v>144</v>
      </c>
      <c r="H32" t="s">
        <v>145</v>
      </c>
      <c r="I32">
        <v>2</v>
      </c>
    </row>
    <row r="33" spans="1:9" x14ac:dyDescent="0.25">
      <c r="A33" t="s">
        <v>107</v>
      </c>
      <c r="B33" t="s">
        <v>107</v>
      </c>
      <c r="C33" s="9">
        <v>46245</v>
      </c>
      <c r="E33" t="s">
        <v>102</v>
      </c>
      <c r="F33">
        <v>80866725</v>
      </c>
      <c r="G33" t="s">
        <v>146</v>
      </c>
      <c r="H33" t="s">
        <v>147</v>
      </c>
      <c r="I33">
        <v>3</v>
      </c>
    </row>
    <row r="34" spans="1:9" x14ac:dyDescent="0.25">
      <c r="A34" t="s">
        <v>101</v>
      </c>
      <c r="B34" t="s">
        <v>101</v>
      </c>
      <c r="C34" s="9">
        <v>46245</v>
      </c>
      <c r="E34" t="s">
        <v>102</v>
      </c>
      <c r="F34">
        <v>80866725</v>
      </c>
      <c r="G34" t="s">
        <v>146</v>
      </c>
      <c r="H34" t="s">
        <v>147</v>
      </c>
      <c r="I34">
        <v>1</v>
      </c>
    </row>
    <row r="35" spans="1:9" x14ac:dyDescent="0.25">
      <c r="A35" t="s">
        <v>107</v>
      </c>
      <c r="B35" t="s">
        <v>107</v>
      </c>
      <c r="C35" s="9">
        <v>46245</v>
      </c>
      <c r="E35" t="s">
        <v>102</v>
      </c>
      <c r="F35">
        <v>80866726</v>
      </c>
      <c r="G35" t="s">
        <v>148</v>
      </c>
      <c r="H35" t="s">
        <v>149</v>
      </c>
      <c r="I35">
        <v>3</v>
      </c>
    </row>
    <row r="36" spans="1:9" x14ac:dyDescent="0.25">
      <c r="A36" t="s">
        <v>101</v>
      </c>
      <c r="B36" t="s">
        <v>101</v>
      </c>
      <c r="C36" s="9">
        <v>46245</v>
      </c>
      <c r="E36" t="s">
        <v>102</v>
      </c>
      <c r="F36">
        <v>80862828</v>
      </c>
      <c r="G36" t="s">
        <v>150</v>
      </c>
      <c r="H36" t="s">
        <v>151</v>
      </c>
      <c r="I36">
        <v>3</v>
      </c>
    </row>
    <row r="37" spans="1:9" x14ac:dyDescent="0.25">
      <c r="A37" t="s">
        <v>107</v>
      </c>
      <c r="B37" t="s">
        <v>107</v>
      </c>
      <c r="C37" s="9">
        <v>46245</v>
      </c>
      <c r="E37" t="s">
        <v>102</v>
      </c>
      <c r="F37">
        <v>80896468</v>
      </c>
      <c r="G37" t="s">
        <v>152</v>
      </c>
      <c r="H37" t="s">
        <v>153</v>
      </c>
      <c r="I37">
        <v>9</v>
      </c>
    </row>
    <row r="38" spans="1:9" x14ac:dyDescent="0.25">
      <c r="A38" t="s">
        <v>101</v>
      </c>
      <c r="B38" t="s">
        <v>101</v>
      </c>
      <c r="C38" s="9">
        <v>46245</v>
      </c>
      <c r="E38" t="s">
        <v>102</v>
      </c>
      <c r="F38">
        <v>80896468</v>
      </c>
      <c r="G38" t="s">
        <v>152</v>
      </c>
      <c r="H38" t="s">
        <v>153</v>
      </c>
      <c r="I38">
        <v>6</v>
      </c>
    </row>
    <row r="39" spans="1:9" x14ac:dyDescent="0.25">
      <c r="A39" t="s">
        <v>101</v>
      </c>
      <c r="B39" t="s">
        <v>101</v>
      </c>
      <c r="C39" s="9">
        <v>46245</v>
      </c>
      <c r="E39" t="s">
        <v>102</v>
      </c>
      <c r="F39">
        <v>80869896</v>
      </c>
      <c r="G39" t="s">
        <v>154</v>
      </c>
      <c r="H39" t="s">
        <v>155</v>
      </c>
      <c r="I39">
        <v>60</v>
      </c>
    </row>
    <row r="40" spans="1:9" x14ac:dyDescent="0.25">
      <c r="A40" t="s">
        <v>107</v>
      </c>
      <c r="B40" t="s">
        <v>107</v>
      </c>
      <c r="C40" s="9">
        <v>46245</v>
      </c>
      <c r="E40" t="s">
        <v>102</v>
      </c>
      <c r="F40">
        <v>80869896</v>
      </c>
      <c r="G40" t="s">
        <v>154</v>
      </c>
      <c r="H40" t="s">
        <v>155</v>
      </c>
      <c r="I40">
        <v>45</v>
      </c>
    </row>
    <row r="41" spans="1:9" x14ac:dyDescent="0.25">
      <c r="A41" t="s">
        <v>101</v>
      </c>
      <c r="B41" t="s">
        <v>101</v>
      </c>
      <c r="C41" s="9">
        <v>46245</v>
      </c>
      <c r="E41" t="s">
        <v>102</v>
      </c>
      <c r="F41">
        <v>83911777</v>
      </c>
      <c r="G41" t="s">
        <v>156</v>
      </c>
      <c r="H41" t="s">
        <v>157</v>
      </c>
      <c r="I41">
        <v>44</v>
      </c>
    </row>
    <row r="42" spans="1:9" x14ac:dyDescent="0.25">
      <c r="A42" t="s">
        <v>107</v>
      </c>
      <c r="B42" t="s">
        <v>107</v>
      </c>
      <c r="C42" s="9">
        <v>46245</v>
      </c>
      <c r="E42" t="s">
        <v>102</v>
      </c>
      <c r="F42">
        <v>83925440</v>
      </c>
      <c r="G42" t="s">
        <v>156</v>
      </c>
      <c r="H42" t="s">
        <v>158</v>
      </c>
      <c r="I42">
        <v>24</v>
      </c>
    </row>
    <row r="43" spans="1:9" x14ac:dyDescent="0.25">
      <c r="A43" t="s">
        <v>107</v>
      </c>
      <c r="B43" t="s">
        <v>107</v>
      </c>
      <c r="C43" s="9">
        <v>46245</v>
      </c>
      <c r="E43" t="s">
        <v>102</v>
      </c>
      <c r="F43">
        <v>83911635</v>
      </c>
      <c r="G43" t="s">
        <v>159</v>
      </c>
      <c r="H43" t="s">
        <v>160</v>
      </c>
      <c r="I43">
        <v>256</v>
      </c>
    </row>
    <row r="44" spans="1:9" x14ac:dyDescent="0.25">
      <c r="A44" t="s">
        <v>101</v>
      </c>
      <c r="B44" t="s">
        <v>101</v>
      </c>
      <c r="C44" s="9">
        <v>46245</v>
      </c>
      <c r="E44" t="s">
        <v>102</v>
      </c>
      <c r="F44">
        <v>83911635</v>
      </c>
      <c r="G44" t="s">
        <v>159</v>
      </c>
      <c r="H44" t="s">
        <v>160</v>
      </c>
      <c r="I44">
        <v>452</v>
      </c>
    </row>
    <row r="45" spans="1:9" x14ac:dyDescent="0.25">
      <c r="A45" t="s">
        <v>107</v>
      </c>
      <c r="B45" t="s">
        <v>107</v>
      </c>
      <c r="C45" s="9">
        <v>46245</v>
      </c>
      <c r="E45" t="s">
        <v>102</v>
      </c>
      <c r="F45">
        <v>83911783</v>
      </c>
      <c r="G45" t="s">
        <v>161</v>
      </c>
      <c r="H45" t="s">
        <v>162</v>
      </c>
      <c r="I45">
        <v>12</v>
      </c>
    </row>
    <row r="46" spans="1:9" x14ac:dyDescent="0.25">
      <c r="A46" t="s">
        <v>101</v>
      </c>
      <c r="B46" t="s">
        <v>101</v>
      </c>
      <c r="C46" s="9">
        <v>46245</v>
      </c>
      <c r="E46" t="s">
        <v>102</v>
      </c>
      <c r="F46">
        <v>83911783</v>
      </c>
      <c r="G46" t="s">
        <v>161</v>
      </c>
      <c r="H46" t="s">
        <v>162</v>
      </c>
      <c r="I46">
        <v>8</v>
      </c>
    </row>
    <row r="47" spans="1:9" x14ac:dyDescent="0.25">
      <c r="A47" t="s">
        <v>101</v>
      </c>
      <c r="B47" t="s">
        <v>101</v>
      </c>
      <c r="C47" s="9">
        <v>46245</v>
      </c>
      <c r="E47" t="s">
        <v>102</v>
      </c>
      <c r="F47">
        <v>80870358</v>
      </c>
      <c r="G47" t="s">
        <v>163</v>
      </c>
      <c r="H47" t="s">
        <v>164</v>
      </c>
      <c r="I47">
        <v>10</v>
      </c>
    </row>
    <row r="48" spans="1:9" x14ac:dyDescent="0.25">
      <c r="A48" t="s">
        <v>107</v>
      </c>
      <c r="B48" t="s">
        <v>107</v>
      </c>
      <c r="C48" s="9">
        <v>46245</v>
      </c>
      <c r="E48" t="s">
        <v>102</v>
      </c>
      <c r="F48">
        <v>80870358</v>
      </c>
      <c r="G48" t="s">
        <v>163</v>
      </c>
      <c r="H48" t="s">
        <v>164</v>
      </c>
      <c r="I48">
        <v>4</v>
      </c>
    </row>
    <row r="49" spans="1:9" x14ac:dyDescent="0.25">
      <c r="A49" t="s">
        <v>107</v>
      </c>
      <c r="B49" t="s">
        <v>107</v>
      </c>
      <c r="C49" s="9">
        <v>46245</v>
      </c>
      <c r="E49" t="s">
        <v>102</v>
      </c>
      <c r="F49">
        <v>80870357</v>
      </c>
      <c r="G49" t="s">
        <v>165</v>
      </c>
      <c r="H49" t="s">
        <v>166</v>
      </c>
      <c r="I49">
        <v>14</v>
      </c>
    </row>
    <row r="50" spans="1:9" x14ac:dyDescent="0.25">
      <c r="A50" t="s">
        <v>101</v>
      </c>
      <c r="B50" t="s">
        <v>101</v>
      </c>
      <c r="C50" s="9">
        <v>46245</v>
      </c>
      <c r="E50" t="s">
        <v>102</v>
      </c>
      <c r="F50">
        <v>80870357</v>
      </c>
      <c r="G50" t="s">
        <v>165</v>
      </c>
      <c r="H50" t="s">
        <v>166</v>
      </c>
      <c r="I50">
        <v>14</v>
      </c>
    </row>
    <row r="51" spans="1:9" x14ac:dyDescent="0.25">
      <c r="A51" t="s">
        <v>107</v>
      </c>
      <c r="B51" t="s">
        <v>107</v>
      </c>
      <c r="C51" s="9">
        <v>46245</v>
      </c>
      <c r="E51" t="s">
        <v>102</v>
      </c>
      <c r="F51">
        <v>83908992</v>
      </c>
      <c r="G51" t="s">
        <v>167</v>
      </c>
      <c r="H51" t="s">
        <v>168</v>
      </c>
      <c r="I51">
        <v>2</v>
      </c>
    </row>
    <row r="52" spans="1:9" x14ac:dyDescent="0.25">
      <c r="A52" t="s">
        <v>107</v>
      </c>
      <c r="B52" t="s">
        <v>107</v>
      </c>
      <c r="C52" s="9">
        <v>46245</v>
      </c>
      <c r="E52" t="s">
        <v>102</v>
      </c>
      <c r="F52">
        <v>80887674</v>
      </c>
      <c r="G52" t="s">
        <v>169</v>
      </c>
      <c r="H52" t="s">
        <v>170</v>
      </c>
      <c r="I52">
        <v>2</v>
      </c>
    </row>
    <row r="53" spans="1:9" x14ac:dyDescent="0.25">
      <c r="A53" t="s">
        <v>101</v>
      </c>
      <c r="B53" t="s">
        <v>101</v>
      </c>
      <c r="C53" s="9">
        <v>46245</v>
      </c>
      <c r="E53" t="s">
        <v>102</v>
      </c>
      <c r="F53">
        <v>80869511</v>
      </c>
      <c r="G53" t="s">
        <v>171</v>
      </c>
      <c r="H53" t="s">
        <v>172</v>
      </c>
      <c r="I53">
        <v>1</v>
      </c>
    </row>
    <row r="54" spans="1:9" x14ac:dyDescent="0.25">
      <c r="A54" t="s">
        <v>107</v>
      </c>
      <c r="B54" t="s">
        <v>107</v>
      </c>
      <c r="C54" s="9">
        <v>46245</v>
      </c>
      <c r="E54" t="s">
        <v>102</v>
      </c>
      <c r="F54">
        <v>80869511</v>
      </c>
      <c r="G54" t="s">
        <v>171</v>
      </c>
      <c r="H54" t="s">
        <v>172</v>
      </c>
      <c r="I54">
        <v>2</v>
      </c>
    </row>
    <row r="55" spans="1:9" x14ac:dyDescent="0.25">
      <c r="A55" t="s">
        <v>107</v>
      </c>
      <c r="B55" t="s">
        <v>107</v>
      </c>
      <c r="C55" s="9">
        <v>46245</v>
      </c>
      <c r="E55" t="s">
        <v>102</v>
      </c>
      <c r="F55">
        <v>80893410</v>
      </c>
      <c r="G55" t="s">
        <v>173</v>
      </c>
      <c r="H55" t="s">
        <v>174</v>
      </c>
      <c r="I55">
        <v>3</v>
      </c>
    </row>
    <row r="56" spans="1:9" x14ac:dyDescent="0.25">
      <c r="A56" t="s">
        <v>101</v>
      </c>
      <c r="B56" t="s">
        <v>101</v>
      </c>
      <c r="C56" s="9">
        <v>46245</v>
      </c>
      <c r="E56" t="s">
        <v>102</v>
      </c>
      <c r="F56">
        <v>80893410</v>
      </c>
      <c r="G56" t="s">
        <v>173</v>
      </c>
      <c r="H56" t="s">
        <v>174</v>
      </c>
      <c r="I56">
        <v>15</v>
      </c>
    </row>
    <row r="57" spans="1:9" x14ac:dyDescent="0.25">
      <c r="A57" t="s">
        <v>107</v>
      </c>
      <c r="B57" t="s">
        <v>107</v>
      </c>
      <c r="C57" s="9">
        <v>46245</v>
      </c>
      <c r="E57" t="s">
        <v>102</v>
      </c>
      <c r="F57">
        <v>83916746</v>
      </c>
      <c r="G57" t="s">
        <v>175</v>
      </c>
      <c r="H57" t="s">
        <v>176</v>
      </c>
      <c r="I57">
        <v>6</v>
      </c>
    </row>
    <row r="58" spans="1:9" x14ac:dyDescent="0.25">
      <c r="A58" t="s">
        <v>101</v>
      </c>
      <c r="B58" t="s">
        <v>101</v>
      </c>
      <c r="C58" s="9">
        <v>46245</v>
      </c>
      <c r="E58" t="s">
        <v>102</v>
      </c>
      <c r="F58">
        <v>83916746</v>
      </c>
      <c r="G58" t="s">
        <v>175</v>
      </c>
      <c r="H58" t="s">
        <v>176</v>
      </c>
      <c r="I58">
        <v>9</v>
      </c>
    </row>
    <row r="59" spans="1:9" x14ac:dyDescent="0.25">
      <c r="A59" t="s">
        <v>107</v>
      </c>
      <c r="B59" t="s">
        <v>107</v>
      </c>
      <c r="C59" s="9">
        <v>46245</v>
      </c>
      <c r="E59" t="s">
        <v>102</v>
      </c>
      <c r="F59">
        <v>80862572</v>
      </c>
      <c r="G59" t="s">
        <v>177</v>
      </c>
      <c r="H59" t="s">
        <v>178</v>
      </c>
      <c r="I59">
        <v>2</v>
      </c>
    </row>
    <row r="60" spans="1:9" x14ac:dyDescent="0.25">
      <c r="A60" t="s">
        <v>101</v>
      </c>
      <c r="B60" t="s">
        <v>101</v>
      </c>
      <c r="C60" s="9">
        <v>46245</v>
      </c>
      <c r="E60" t="s">
        <v>102</v>
      </c>
      <c r="F60">
        <v>83916219</v>
      </c>
      <c r="G60" t="s">
        <v>179</v>
      </c>
      <c r="H60" t="s">
        <v>180</v>
      </c>
      <c r="I60">
        <v>2</v>
      </c>
    </row>
    <row r="61" spans="1:9" x14ac:dyDescent="0.25">
      <c r="A61" t="s">
        <v>101</v>
      </c>
      <c r="B61" t="s">
        <v>101</v>
      </c>
      <c r="C61" s="9">
        <v>46245</v>
      </c>
      <c r="E61" t="s">
        <v>102</v>
      </c>
      <c r="F61">
        <v>80830411</v>
      </c>
      <c r="G61" t="s">
        <v>181</v>
      </c>
      <c r="H61" t="s">
        <v>182</v>
      </c>
      <c r="I61">
        <v>1</v>
      </c>
    </row>
    <row r="62" spans="1:9" x14ac:dyDescent="0.25">
      <c r="A62" t="s">
        <v>107</v>
      </c>
      <c r="B62" t="s">
        <v>107</v>
      </c>
      <c r="C62" s="9">
        <v>46245</v>
      </c>
      <c r="E62" t="s">
        <v>102</v>
      </c>
      <c r="F62">
        <v>80780342</v>
      </c>
      <c r="G62" t="s">
        <v>183</v>
      </c>
      <c r="H62" t="s">
        <v>184</v>
      </c>
      <c r="I62">
        <v>1</v>
      </c>
    </row>
    <row r="63" spans="1:9" x14ac:dyDescent="0.25">
      <c r="A63" t="s">
        <v>107</v>
      </c>
      <c r="B63" t="s">
        <v>107</v>
      </c>
      <c r="C63" s="9">
        <v>46245</v>
      </c>
      <c r="E63" t="s">
        <v>102</v>
      </c>
      <c r="F63">
        <v>83933413</v>
      </c>
      <c r="G63" t="s">
        <v>185</v>
      </c>
      <c r="H63" t="s">
        <v>186</v>
      </c>
      <c r="I63">
        <v>9</v>
      </c>
    </row>
    <row r="64" spans="1:9" x14ac:dyDescent="0.25">
      <c r="A64" t="s">
        <v>101</v>
      </c>
      <c r="B64" t="s">
        <v>101</v>
      </c>
      <c r="C64" s="9">
        <v>46245</v>
      </c>
      <c r="E64" t="s">
        <v>102</v>
      </c>
      <c r="F64">
        <v>83933413</v>
      </c>
      <c r="G64" t="s">
        <v>185</v>
      </c>
      <c r="H64" t="s">
        <v>186</v>
      </c>
      <c r="I64">
        <v>40</v>
      </c>
    </row>
    <row r="65" spans="1:9" x14ac:dyDescent="0.25">
      <c r="A65" t="s">
        <v>107</v>
      </c>
      <c r="B65" t="s">
        <v>107</v>
      </c>
      <c r="C65" s="9">
        <v>46245</v>
      </c>
      <c r="E65" t="s">
        <v>102</v>
      </c>
      <c r="F65">
        <v>80895465</v>
      </c>
      <c r="G65" t="s">
        <v>187</v>
      </c>
      <c r="H65" t="s">
        <v>188</v>
      </c>
      <c r="I65">
        <v>1</v>
      </c>
    </row>
    <row r="66" spans="1:9" x14ac:dyDescent="0.25">
      <c r="A66" t="s">
        <v>101</v>
      </c>
      <c r="B66" t="s">
        <v>101</v>
      </c>
      <c r="C66" s="9">
        <v>46245</v>
      </c>
      <c r="E66" t="s">
        <v>102</v>
      </c>
      <c r="F66">
        <v>80895465</v>
      </c>
      <c r="G66" t="s">
        <v>187</v>
      </c>
      <c r="H66" t="s">
        <v>188</v>
      </c>
      <c r="I66">
        <v>9</v>
      </c>
    </row>
    <row r="67" spans="1:9" x14ac:dyDescent="0.25">
      <c r="A67" t="s">
        <v>107</v>
      </c>
      <c r="B67" t="s">
        <v>107</v>
      </c>
      <c r="C67" s="9">
        <v>46245</v>
      </c>
      <c r="E67" t="s">
        <v>102</v>
      </c>
      <c r="F67">
        <v>80887983</v>
      </c>
      <c r="G67" t="s">
        <v>189</v>
      </c>
      <c r="H67" t="s">
        <v>190</v>
      </c>
      <c r="I67">
        <v>2</v>
      </c>
    </row>
    <row r="68" spans="1:9" x14ac:dyDescent="0.25">
      <c r="A68" t="s">
        <v>101</v>
      </c>
      <c r="B68" t="s">
        <v>101</v>
      </c>
      <c r="C68" s="9">
        <v>46245</v>
      </c>
      <c r="E68" t="s">
        <v>102</v>
      </c>
      <c r="F68">
        <v>80887983</v>
      </c>
      <c r="G68" t="s">
        <v>189</v>
      </c>
      <c r="H68" t="s">
        <v>190</v>
      </c>
      <c r="I68">
        <v>1</v>
      </c>
    </row>
    <row r="69" spans="1:9" x14ac:dyDescent="0.25">
      <c r="A69" t="s">
        <v>101</v>
      </c>
      <c r="B69" t="s">
        <v>101</v>
      </c>
      <c r="C69" s="9">
        <v>46245</v>
      </c>
      <c r="E69" t="s">
        <v>102</v>
      </c>
      <c r="F69">
        <v>83918762</v>
      </c>
      <c r="G69" t="s">
        <v>191</v>
      </c>
      <c r="H69" t="s">
        <v>192</v>
      </c>
      <c r="I69">
        <v>3</v>
      </c>
    </row>
    <row r="70" spans="1:9" x14ac:dyDescent="0.25">
      <c r="A70" t="s">
        <v>101</v>
      </c>
      <c r="B70" t="s">
        <v>101</v>
      </c>
      <c r="C70" s="9">
        <v>46245</v>
      </c>
      <c r="E70" t="s">
        <v>102</v>
      </c>
      <c r="F70">
        <v>83918765</v>
      </c>
      <c r="G70" t="s">
        <v>193</v>
      </c>
      <c r="H70" t="s">
        <v>194</v>
      </c>
      <c r="I70">
        <v>274</v>
      </c>
    </row>
    <row r="71" spans="1:9" x14ac:dyDescent="0.25">
      <c r="A71" t="s">
        <v>107</v>
      </c>
      <c r="B71" t="s">
        <v>107</v>
      </c>
      <c r="C71" s="9">
        <v>46245</v>
      </c>
      <c r="E71" t="s">
        <v>102</v>
      </c>
      <c r="F71">
        <v>83918765</v>
      </c>
      <c r="G71" t="s">
        <v>193</v>
      </c>
      <c r="H71" t="s">
        <v>194</v>
      </c>
      <c r="I71">
        <v>95</v>
      </c>
    </row>
    <row r="72" spans="1:9" x14ac:dyDescent="0.25">
      <c r="A72" t="s">
        <v>101</v>
      </c>
      <c r="B72" t="s">
        <v>101</v>
      </c>
      <c r="C72" s="9">
        <v>46245</v>
      </c>
      <c r="E72" t="s">
        <v>102</v>
      </c>
      <c r="F72">
        <v>83912164</v>
      </c>
      <c r="G72" t="s">
        <v>195</v>
      </c>
      <c r="H72" t="s">
        <v>196</v>
      </c>
      <c r="I72">
        <v>87</v>
      </c>
    </row>
    <row r="73" spans="1:9" x14ac:dyDescent="0.25">
      <c r="A73" t="s">
        <v>107</v>
      </c>
      <c r="B73" t="s">
        <v>107</v>
      </c>
      <c r="C73" s="9">
        <v>46245</v>
      </c>
      <c r="E73" t="s">
        <v>102</v>
      </c>
      <c r="F73">
        <v>83912164</v>
      </c>
      <c r="G73" t="s">
        <v>195</v>
      </c>
      <c r="H73" t="s">
        <v>196</v>
      </c>
      <c r="I73">
        <v>36</v>
      </c>
    </row>
    <row r="74" spans="1:9" x14ac:dyDescent="0.25">
      <c r="A74" t="s">
        <v>107</v>
      </c>
      <c r="B74" t="s">
        <v>107</v>
      </c>
      <c r="C74" s="9">
        <v>46245</v>
      </c>
      <c r="E74" t="s">
        <v>102</v>
      </c>
      <c r="F74">
        <v>83912166</v>
      </c>
      <c r="G74" t="s">
        <v>197</v>
      </c>
      <c r="H74" t="s">
        <v>198</v>
      </c>
      <c r="I74">
        <v>15</v>
      </c>
    </row>
    <row r="75" spans="1:9" x14ac:dyDescent="0.25">
      <c r="A75" t="s">
        <v>101</v>
      </c>
      <c r="B75" t="s">
        <v>101</v>
      </c>
      <c r="C75" s="9">
        <v>46245</v>
      </c>
      <c r="E75" t="s">
        <v>102</v>
      </c>
      <c r="F75">
        <v>83912166</v>
      </c>
      <c r="G75" t="s">
        <v>197</v>
      </c>
      <c r="H75" t="s">
        <v>198</v>
      </c>
      <c r="I75">
        <v>60</v>
      </c>
    </row>
    <row r="76" spans="1:9" x14ac:dyDescent="0.25">
      <c r="A76" t="s">
        <v>107</v>
      </c>
      <c r="B76" t="s">
        <v>107</v>
      </c>
      <c r="C76" s="9">
        <v>46245</v>
      </c>
      <c r="E76" t="s">
        <v>102</v>
      </c>
      <c r="F76">
        <v>83918758</v>
      </c>
      <c r="G76" t="s">
        <v>199</v>
      </c>
      <c r="H76" t="s">
        <v>200</v>
      </c>
      <c r="I76">
        <v>18</v>
      </c>
    </row>
    <row r="77" spans="1:9" x14ac:dyDescent="0.25">
      <c r="A77" t="s">
        <v>101</v>
      </c>
      <c r="B77" t="s">
        <v>101</v>
      </c>
      <c r="C77" s="9">
        <v>46245</v>
      </c>
      <c r="E77" t="s">
        <v>102</v>
      </c>
      <c r="F77">
        <v>83918758</v>
      </c>
      <c r="G77" t="s">
        <v>199</v>
      </c>
      <c r="H77" t="s">
        <v>200</v>
      </c>
      <c r="I77">
        <v>6</v>
      </c>
    </row>
    <row r="78" spans="1:9" x14ac:dyDescent="0.25">
      <c r="A78" t="s">
        <v>107</v>
      </c>
      <c r="B78" t="s">
        <v>107</v>
      </c>
      <c r="C78" s="9">
        <v>46245</v>
      </c>
      <c r="E78" t="s">
        <v>102</v>
      </c>
      <c r="F78">
        <v>83918759</v>
      </c>
      <c r="G78" t="s">
        <v>201</v>
      </c>
      <c r="H78" t="s">
        <v>202</v>
      </c>
      <c r="I78">
        <v>54</v>
      </c>
    </row>
    <row r="79" spans="1:9" x14ac:dyDescent="0.25">
      <c r="A79" t="s">
        <v>101</v>
      </c>
      <c r="B79" t="s">
        <v>101</v>
      </c>
      <c r="C79" s="9">
        <v>46245</v>
      </c>
      <c r="E79" t="s">
        <v>102</v>
      </c>
      <c r="F79">
        <v>83918759</v>
      </c>
      <c r="G79" t="s">
        <v>201</v>
      </c>
      <c r="H79" t="s">
        <v>202</v>
      </c>
      <c r="I79">
        <v>129</v>
      </c>
    </row>
    <row r="80" spans="1:9" x14ac:dyDescent="0.25">
      <c r="A80" t="s">
        <v>107</v>
      </c>
      <c r="B80" t="s">
        <v>107</v>
      </c>
      <c r="C80" s="9">
        <v>46245</v>
      </c>
      <c r="E80" t="s">
        <v>102</v>
      </c>
      <c r="F80">
        <v>80895517</v>
      </c>
      <c r="G80" t="s">
        <v>203</v>
      </c>
      <c r="H80" t="s">
        <v>204</v>
      </c>
      <c r="I80">
        <v>12</v>
      </c>
    </row>
    <row r="81" spans="1:9" x14ac:dyDescent="0.25">
      <c r="A81" t="s">
        <v>101</v>
      </c>
      <c r="B81" t="s">
        <v>101</v>
      </c>
      <c r="C81" s="9">
        <v>46245</v>
      </c>
      <c r="E81" t="s">
        <v>102</v>
      </c>
      <c r="F81">
        <v>80895517</v>
      </c>
      <c r="G81" t="s">
        <v>203</v>
      </c>
      <c r="H81" t="s">
        <v>204</v>
      </c>
      <c r="I81">
        <v>36</v>
      </c>
    </row>
    <row r="82" spans="1:9" x14ac:dyDescent="0.25">
      <c r="A82" t="s">
        <v>101</v>
      </c>
      <c r="B82" t="s">
        <v>101</v>
      </c>
      <c r="C82" s="9">
        <v>46245</v>
      </c>
      <c r="E82" t="s">
        <v>102</v>
      </c>
      <c r="F82">
        <v>80895500</v>
      </c>
      <c r="G82" t="s">
        <v>205</v>
      </c>
      <c r="H82" t="s">
        <v>206</v>
      </c>
      <c r="I82">
        <v>3</v>
      </c>
    </row>
    <row r="83" spans="1:9" x14ac:dyDescent="0.25">
      <c r="A83" t="s">
        <v>107</v>
      </c>
      <c r="B83" t="s">
        <v>107</v>
      </c>
      <c r="C83" s="9">
        <v>46245</v>
      </c>
      <c r="E83" t="s">
        <v>102</v>
      </c>
      <c r="F83">
        <v>83912172</v>
      </c>
      <c r="G83" t="s">
        <v>207</v>
      </c>
      <c r="H83" t="s">
        <v>208</v>
      </c>
      <c r="I83">
        <v>24</v>
      </c>
    </row>
    <row r="84" spans="1:9" x14ac:dyDescent="0.25">
      <c r="A84" t="s">
        <v>101</v>
      </c>
      <c r="B84" t="s">
        <v>101</v>
      </c>
      <c r="C84" s="9">
        <v>46245</v>
      </c>
      <c r="E84" t="s">
        <v>102</v>
      </c>
      <c r="F84">
        <v>83912172</v>
      </c>
      <c r="G84" t="s">
        <v>207</v>
      </c>
      <c r="H84" t="s">
        <v>208</v>
      </c>
      <c r="I84">
        <v>27</v>
      </c>
    </row>
    <row r="85" spans="1:9" x14ac:dyDescent="0.25">
      <c r="A85" t="s">
        <v>107</v>
      </c>
      <c r="B85" t="s">
        <v>107</v>
      </c>
      <c r="C85" s="9">
        <v>46245</v>
      </c>
      <c r="E85" t="s">
        <v>102</v>
      </c>
      <c r="F85">
        <v>83921920</v>
      </c>
      <c r="G85" t="s">
        <v>209</v>
      </c>
      <c r="H85" t="s">
        <v>210</v>
      </c>
      <c r="I85">
        <v>2</v>
      </c>
    </row>
    <row r="86" spans="1:9" x14ac:dyDescent="0.25">
      <c r="A86" t="s">
        <v>101</v>
      </c>
      <c r="B86" t="s">
        <v>101</v>
      </c>
      <c r="C86" s="9">
        <v>46245</v>
      </c>
      <c r="E86" t="s">
        <v>102</v>
      </c>
      <c r="F86">
        <v>83921920</v>
      </c>
      <c r="G86" t="s">
        <v>209</v>
      </c>
      <c r="H86" t="s">
        <v>210</v>
      </c>
      <c r="I86">
        <v>2</v>
      </c>
    </row>
    <row r="87" spans="1:9" x14ac:dyDescent="0.25">
      <c r="A87" t="s">
        <v>107</v>
      </c>
      <c r="B87" t="s">
        <v>107</v>
      </c>
      <c r="C87" s="9">
        <v>46245</v>
      </c>
      <c r="E87" t="s">
        <v>102</v>
      </c>
      <c r="F87">
        <v>83921921</v>
      </c>
      <c r="G87" t="s">
        <v>211</v>
      </c>
      <c r="H87" t="s">
        <v>212</v>
      </c>
      <c r="I87">
        <v>5</v>
      </c>
    </row>
    <row r="88" spans="1:9" x14ac:dyDescent="0.25">
      <c r="A88" t="s">
        <v>101</v>
      </c>
      <c r="B88" t="s">
        <v>101</v>
      </c>
      <c r="C88" s="9">
        <v>46245</v>
      </c>
      <c r="E88" t="s">
        <v>102</v>
      </c>
      <c r="F88">
        <v>83921921</v>
      </c>
      <c r="G88" t="s">
        <v>211</v>
      </c>
      <c r="H88" t="s">
        <v>212</v>
      </c>
      <c r="I88">
        <v>19</v>
      </c>
    </row>
    <row r="89" spans="1:9" x14ac:dyDescent="0.25">
      <c r="A89" t="s">
        <v>107</v>
      </c>
      <c r="B89" t="s">
        <v>107</v>
      </c>
      <c r="C89" s="9">
        <v>46245</v>
      </c>
      <c r="E89" t="s">
        <v>102</v>
      </c>
      <c r="F89">
        <v>83921924</v>
      </c>
      <c r="G89" t="s">
        <v>213</v>
      </c>
      <c r="H89" t="s">
        <v>214</v>
      </c>
      <c r="I89">
        <v>15</v>
      </c>
    </row>
    <row r="90" spans="1:9" x14ac:dyDescent="0.25">
      <c r="A90" t="s">
        <v>101</v>
      </c>
      <c r="B90" t="s">
        <v>101</v>
      </c>
      <c r="C90" s="9">
        <v>46245</v>
      </c>
      <c r="E90" t="s">
        <v>102</v>
      </c>
      <c r="F90">
        <v>83921924</v>
      </c>
      <c r="G90" t="s">
        <v>213</v>
      </c>
      <c r="H90" t="s">
        <v>214</v>
      </c>
      <c r="I90">
        <v>42</v>
      </c>
    </row>
    <row r="91" spans="1:9" x14ac:dyDescent="0.25">
      <c r="A91" t="s">
        <v>107</v>
      </c>
      <c r="B91" t="s">
        <v>107</v>
      </c>
      <c r="C91" s="9">
        <v>46245</v>
      </c>
      <c r="E91" t="s">
        <v>102</v>
      </c>
      <c r="F91">
        <v>83921923</v>
      </c>
      <c r="G91" t="s">
        <v>215</v>
      </c>
      <c r="H91" t="s">
        <v>216</v>
      </c>
      <c r="I91">
        <v>2</v>
      </c>
    </row>
    <row r="92" spans="1:9" x14ac:dyDescent="0.25">
      <c r="A92" t="s">
        <v>101</v>
      </c>
      <c r="B92" t="s">
        <v>101</v>
      </c>
      <c r="C92" s="9">
        <v>46245</v>
      </c>
      <c r="E92" t="s">
        <v>102</v>
      </c>
      <c r="F92">
        <v>83921923</v>
      </c>
      <c r="G92" t="s">
        <v>215</v>
      </c>
      <c r="H92" t="s">
        <v>216</v>
      </c>
      <c r="I92">
        <v>21</v>
      </c>
    </row>
    <row r="93" spans="1:9" x14ac:dyDescent="0.25">
      <c r="A93" t="s">
        <v>101</v>
      </c>
      <c r="B93" t="s">
        <v>101</v>
      </c>
      <c r="C93" s="9">
        <v>46245</v>
      </c>
      <c r="E93" t="s">
        <v>102</v>
      </c>
      <c r="F93">
        <v>80887692</v>
      </c>
      <c r="G93" t="s">
        <v>217</v>
      </c>
      <c r="H93" t="s">
        <v>218</v>
      </c>
      <c r="I93">
        <v>2</v>
      </c>
    </row>
    <row r="94" spans="1:9" x14ac:dyDescent="0.25">
      <c r="A94" t="s">
        <v>107</v>
      </c>
      <c r="B94" t="s">
        <v>107</v>
      </c>
      <c r="C94" s="9">
        <v>46245</v>
      </c>
      <c r="E94" t="s">
        <v>102</v>
      </c>
      <c r="F94">
        <v>83911268</v>
      </c>
      <c r="G94" t="s">
        <v>219</v>
      </c>
      <c r="H94" t="s">
        <v>220</v>
      </c>
      <c r="I94">
        <v>3</v>
      </c>
    </row>
    <row r="95" spans="1:9" x14ac:dyDescent="0.25">
      <c r="A95" t="s">
        <v>101</v>
      </c>
      <c r="B95" t="s">
        <v>101</v>
      </c>
      <c r="C95" s="9">
        <v>46245</v>
      </c>
      <c r="E95" t="s">
        <v>102</v>
      </c>
      <c r="F95">
        <v>83911268</v>
      </c>
      <c r="G95" t="s">
        <v>219</v>
      </c>
      <c r="H95" t="s">
        <v>220</v>
      </c>
      <c r="I95">
        <v>6</v>
      </c>
    </row>
    <row r="96" spans="1:9" x14ac:dyDescent="0.25">
      <c r="A96" t="s">
        <v>101</v>
      </c>
      <c r="B96" t="s">
        <v>101</v>
      </c>
      <c r="C96" s="9">
        <v>46245</v>
      </c>
      <c r="E96" t="s">
        <v>102</v>
      </c>
      <c r="F96">
        <v>83911276</v>
      </c>
      <c r="G96" t="s">
        <v>221</v>
      </c>
      <c r="H96" t="s">
        <v>222</v>
      </c>
      <c r="I96">
        <v>6</v>
      </c>
    </row>
    <row r="97" spans="1:9" x14ac:dyDescent="0.25">
      <c r="A97" t="s">
        <v>107</v>
      </c>
      <c r="B97" t="s">
        <v>107</v>
      </c>
      <c r="C97" s="9">
        <v>46245</v>
      </c>
      <c r="E97" t="s">
        <v>102</v>
      </c>
      <c r="F97">
        <v>83911276</v>
      </c>
      <c r="G97" t="s">
        <v>221</v>
      </c>
      <c r="H97" t="s">
        <v>222</v>
      </c>
      <c r="I97">
        <v>3</v>
      </c>
    </row>
    <row r="98" spans="1:9" x14ac:dyDescent="0.25">
      <c r="A98" t="s">
        <v>107</v>
      </c>
      <c r="B98" t="s">
        <v>107</v>
      </c>
      <c r="C98" s="9">
        <v>46245</v>
      </c>
      <c r="E98" t="s">
        <v>102</v>
      </c>
      <c r="F98">
        <v>83911270</v>
      </c>
      <c r="G98" t="s">
        <v>223</v>
      </c>
      <c r="H98" t="s">
        <v>224</v>
      </c>
      <c r="I98">
        <v>18</v>
      </c>
    </row>
    <row r="99" spans="1:9" x14ac:dyDescent="0.25">
      <c r="A99" t="s">
        <v>101</v>
      </c>
      <c r="B99" t="s">
        <v>101</v>
      </c>
      <c r="C99" s="9">
        <v>46245</v>
      </c>
      <c r="E99" t="s">
        <v>102</v>
      </c>
      <c r="F99">
        <v>83911270</v>
      </c>
      <c r="G99" t="s">
        <v>223</v>
      </c>
      <c r="H99" t="s">
        <v>224</v>
      </c>
      <c r="I99">
        <v>24</v>
      </c>
    </row>
    <row r="100" spans="1:9" x14ac:dyDescent="0.25">
      <c r="A100" t="s">
        <v>107</v>
      </c>
      <c r="B100" t="s">
        <v>107</v>
      </c>
      <c r="C100" s="9">
        <v>46245</v>
      </c>
      <c r="E100" t="s">
        <v>102</v>
      </c>
      <c r="F100">
        <v>83911281</v>
      </c>
      <c r="G100" t="s">
        <v>225</v>
      </c>
      <c r="H100" t="s">
        <v>226</v>
      </c>
      <c r="I100">
        <v>6</v>
      </c>
    </row>
    <row r="101" spans="1:9" x14ac:dyDescent="0.25">
      <c r="A101" t="s">
        <v>101</v>
      </c>
      <c r="B101" t="s">
        <v>101</v>
      </c>
      <c r="C101" s="9">
        <v>46245</v>
      </c>
      <c r="E101" t="s">
        <v>102</v>
      </c>
      <c r="F101">
        <v>83911281</v>
      </c>
      <c r="G101" t="s">
        <v>225</v>
      </c>
      <c r="H101" t="s">
        <v>226</v>
      </c>
      <c r="I101">
        <v>12</v>
      </c>
    </row>
    <row r="102" spans="1:9" x14ac:dyDescent="0.25">
      <c r="A102" t="s">
        <v>107</v>
      </c>
      <c r="B102" t="s">
        <v>107</v>
      </c>
      <c r="C102" s="9">
        <v>46245</v>
      </c>
      <c r="E102" t="s">
        <v>102</v>
      </c>
      <c r="F102">
        <v>80892904</v>
      </c>
      <c r="G102" t="s">
        <v>227</v>
      </c>
      <c r="H102" t="s">
        <v>228</v>
      </c>
      <c r="I102">
        <v>69</v>
      </c>
    </row>
    <row r="103" spans="1:9" x14ac:dyDescent="0.25">
      <c r="A103" t="s">
        <v>101</v>
      </c>
      <c r="B103" t="s">
        <v>101</v>
      </c>
      <c r="C103" s="9">
        <v>46245</v>
      </c>
      <c r="E103" t="s">
        <v>102</v>
      </c>
      <c r="F103">
        <v>80892904</v>
      </c>
      <c r="G103" t="s">
        <v>227</v>
      </c>
      <c r="H103" t="s">
        <v>228</v>
      </c>
      <c r="I103">
        <v>63</v>
      </c>
    </row>
    <row r="104" spans="1:9" x14ac:dyDescent="0.25">
      <c r="A104" t="s">
        <v>101</v>
      </c>
      <c r="B104" t="s">
        <v>101</v>
      </c>
      <c r="C104" s="9">
        <v>46245</v>
      </c>
      <c r="E104" t="s">
        <v>102</v>
      </c>
      <c r="F104">
        <v>83911280</v>
      </c>
      <c r="G104" t="s">
        <v>229</v>
      </c>
      <c r="H104" t="s">
        <v>230</v>
      </c>
      <c r="I104">
        <v>9</v>
      </c>
    </row>
    <row r="105" spans="1:9" x14ac:dyDescent="0.25">
      <c r="A105" t="s">
        <v>107</v>
      </c>
      <c r="B105" t="s">
        <v>107</v>
      </c>
      <c r="C105" s="9">
        <v>46245</v>
      </c>
      <c r="E105" t="s">
        <v>102</v>
      </c>
      <c r="F105">
        <v>83911280</v>
      </c>
      <c r="G105" t="s">
        <v>229</v>
      </c>
      <c r="H105" t="s">
        <v>230</v>
      </c>
      <c r="I105">
        <v>18</v>
      </c>
    </row>
    <row r="106" spans="1:9" x14ac:dyDescent="0.25">
      <c r="A106" t="s">
        <v>107</v>
      </c>
      <c r="B106" t="s">
        <v>107</v>
      </c>
      <c r="C106" s="9">
        <v>46245</v>
      </c>
      <c r="E106" t="s">
        <v>102</v>
      </c>
      <c r="F106">
        <v>80879269</v>
      </c>
      <c r="G106" t="s">
        <v>231</v>
      </c>
      <c r="H106" t="s">
        <v>232</v>
      </c>
      <c r="I106">
        <v>3</v>
      </c>
    </row>
    <row r="107" spans="1:9" x14ac:dyDescent="0.25">
      <c r="A107" t="s">
        <v>101</v>
      </c>
      <c r="B107" t="s">
        <v>101</v>
      </c>
      <c r="C107" s="9">
        <v>46245</v>
      </c>
      <c r="E107" t="s">
        <v>102</v>
      </c>
      <c r="F107">
        <v>80879269</v>
      </c>
      <c r="G107" t="s">
        <v>231</v>
      </c>
      <c r="H107" t="s">
        <v>232</v>
      </c>
      <c r="I107">
        <v>3</v>
      </c>
    </row>
    <row r="108" spans="1:9" x14ac:dyDescent="0.25">
      <c r="A108" t="s">
        <v>101</v>
      </c>
      <c r="B108" t="s">
        <v>101</v>
      </c>
      <c r="C108" s="9">
        <v>46245</v>
      </c>
      <c r="E108" t="s">
        <v>102</v>
      </c>
      <c r="F108">
        <v>80879273</v>
      </c>
      <c r="G108" t="s">
        <v>233</v>
      </c>
      <c r="H108" t="s">
        <v>234</v>
      </c>
      <c r="I108">
        <v>9</v>
      </c>
    </row>
    <row r="109" spans="1:9" x14ac:dyDescent="0.25">
      <c r="A109" t="s">
        <v>107</v>
      </c>
      <c r="B109" t="s">
        <v>107</v>
      </c>
      <c r="C109" s="9">
        <v>46245</v>
      </c>
      <c r="E109" t="s">
        <v>102</v>
      </c>
      <c r="F109">
        <v>80879273</v>
      </c>
      <c r="G109" t="s">
        <v>233</v>
      </c>
      <c r="H109" t="s">
        <v>234</v>
      </c>
      <c r="I109">
        <v>9</v>
      </c>
    </row>
    <row r="110" spans="1:9" x14ac:dyDescent="0.25">
      <c r="A110" t="s">
        <v>101</v>
      </c>
      <c r="B110" t="s">
        <v>101</v>
      </c>
      <c r="C110" s="9">
        <v>46245</v>
      </c>
      <c r="E110" t="s">
        <v>102</v>
      </c>
      <c r="F110">
        <v>80876990</v>
      </c>
      <c r="G110" t="s">
        <v>235</v>
      </c>
      <c r="H110" t="s">
        <v>236</v>
      </c>
      <c r="I110">
        <v>2</v>
      </c>
    </row>
    <row r="111" spans="1:9" x14ac:dyDescent="0.25">
      <c r="A111" t="s">
        <v>107</v>
      </c>
      <c r="B111" t="s">
        <v>107</v>
      </c>
      <c r="C111" s="9">
        <v>46245</v>
      </c>
      <c r="E111" t="s">
        <v>102</v>
      </c>
      <c r="F111">
        <v>80830097</v>
      </c>
      <c r="G111" t="s">
        <v>237</v>
      </c>
      <c r="H111" t="s">
        <v>238</v>
      </c>
      <c r="I111">
        <v>1</v>
      </c>
    </row>
    <row r="112" spans="1:9" x14ac:dyDescent="0.25">
      <c r="A112" t="s">
        <v>107</v>
      </c>
      <c r="B112" t="s">
        <v>107</v>
      </c>
      <c r="C112" s="9">
        <v>46245</v>
      </c>
      <c r="E112" t="s">
        <v>102</v>
      </c>
      <c r="F112">
        <v>80878182</v>
      </c>
      <c r="G112" t="s">
        <v>239</v>
      </c>
      <c r="H112" t="s">
        <v>240</v>
      </c>
      <c r="I112">
        <v>2</v>
      </c>
    </row>
    <row r="113" spans="1:9" x14ac:dyDescent="0.25">
      <c r="A113" t="s">
        <v>241</v>
      </c>
      <c r="B113" t="s">
        <v>241</v>
      </c>
      <c r="C113" s="9">
        <v>46246</v>
      </c>
      <c r="E113" t="s">
        <v>102</v>
      </c>
      <c r="F113">
        <v>80864296</v>
      </c>
      <c r="G113" t="s">
        <v>103</v>
      </c>
      <c r="H113" t="s">
        <v>104</v>
      </c>
      <c r="I113">
        <v>3</v>
      </c>
    </row>
    <row r="114" spans="1:9" x14ac:dyDescent="0.25">
      <c r="A114" t="s">
        <v>242</v>
      </c>
      <c r="B114" t="s">
        <v>242</v>
      </c>
      <c r="C114" s="9">
        <v>46246</v>
      </c>
      <c r="E114" t="s">
        <v>102</v>
      </c>
      <c r="F114">
        <v>80864296</v>
      </c>
      <c r="G114" t="s">
        <v>103</v>
      </c>
      <c r="H114" t="s">
        <v>104</v>
      </c>
      <c r="I114">
        <v>6</v>
      </c>
    </row>
    <row r="115" spans="1:9" x14ac:dyDescent="0.25">
      <c r="A115" t="s">
        <v>243</v>
      </c>
      <c r="B115" t="s">
        <v>243</v>
      </c>
      <c r="C115" s="9">
        <v>46246</v>
      </c>
      <c r="E115" t="s">
        <v>102</v>
      </c>
      <c r="F115">
        <v>80864296</v>
      </c>
      <c r="G115" t="s">
        <v>103</v>
      </c>
      <c r="H115" t="s">
        <v>104</v>
      </c>
      <c r="I115">
        <v>9</v>
      </c>
    </row>
    <row r="116" spans="1:9" x14ac:dyDescent="0.25">
      <c r="A116" t="s">
        <v>243</v>
      </c>
      <c r="B116" t="s">
        <v>243</v>
      </c>
      <c r="C116" s="9">
        <v>46246</v>
      </c>
      <c r="E116" t="s">
        <v>102</v>
      </c>
      <c r="F116">
        <v>80840352</v>
      </c>
      <c r="G116" t="s">
        <v>105</v>
      </c>
      <c r="H116" t="s">
        <v>106</v>
      </c>
      <c r="I116">
        <v>1</v>
      </c>
    </row>
    <row r="117" spans="1:9" x14ac:dyDescent="0.25">
      <c r="A117" t="s">
        <v>242</v>
      </c>
      <c r="B117" t="s">
        <v>242</v>
      </c>
      <c r="C117" s="9">
        <v>46246</v>
      </c>
      <c r="E117" t="s">
        <v>102</v>
      </c>
      <c r="F117">
        <v>80840352</v>
      </c>
      <c r="G117" t="s">
        <v>105</v>
      </c>
      <c r="H117" t="s">
        <v>106</v>
      </c>
      <c r="I117">
        <v>17</v>
      </c>
    </row>
    <row r="118" spans="1:9" x14ac:dyDescent="0.25">
      <c r="A118" t="s">
        <v>241</v>
      </c>
      <c r="B118" t="s">
        <v>241</v>
      </c>
      <c r="C118" s="9">
        <v>46246</v>
      </c>
      <c r="E118" t="s">
        <v>102</v>
      </c>
      <c r="F118">
        <v>80840352</v>
      </c>
      <c r="G118" t="s">
        <v>105</v>
      </c>
      <c r="H118" t="s">
        <v>106</v>
      </c>
      <c r="I118">
        <v>2</v>
      </c>
    </row>
    <row r="119" spans="1:9" x14ac:dyDescent="0.25">
      <c r="A119" t="s">
        <v>244</v>
      </c>
      <c r="B119" t="s">
        <v>244</v>
      </c>
      <c r="C119" s="9">
        <v>46246</v>
      </c>
      <c r="E119" t="s">
        <v>102</v>
      </c>
      <c r="F119">
        <v>80840352</v>
      </c>
      <c r="G119" t="s">
        <v>105</v>
      </c>
      <c r="H119" t="s">
        <v>106</v>
      </c>
      <c r="I119">
        <v>3</v>
      </c>
    </row>
    <row r="120" spans="1:9" x14ac:dyDescent="0.25">
      <c r="A120" t="s">
        <v>244</v>
      </c>
      <c r="B120" t="s">
        <v>244</v>
      </c>
      <c r="C120" s="9">
        <v>46246</v>
      </c>
      <c r="E120" t="s">
        <v>102</v>
      </c>
      <c r="F120">
        <v>80832389</v>
      </c>
      <c r="G120" t="s">
        <v>108</v>
      </c>
      <c r="H120" t="s">
        <v>109</v>
      </c>
      <c r="I120">
        <v>2</v>
      </c>
    </row>
    <row r="121" spans="1:9" x14ac:dyDescent="0.25">
      <c r="A121" t="s">
        <v>241</v>
      </c>
      <c r="B121" t="s">
        <v>241</v>
      </c>
      <c r="C121" s="9">
        <v>46246</v>
      </c>
      <c r="E121" t="s">
        <v>102</v>
      </c>
      <c r="F121">
        <v>80832389</v>
      </c>
      <c r="G121" t="s">
        <v>108</v>
      </c>
      <c r="H121" t="s">
        <v>109</v>
      </c>
      <c r="I121">
        <v>1</v>
      </c>
    </row>
    <row r="122" spans="1:9" x14ac:dyDescent="0.25">
      <c r="A122" t="s">
        <v>245</v>
      </c>
      <c r="B122" t="s">
        <v>245</v>
      </c>
      <c r="C122" s="9">
        <v>46246</v>
      </c>
      <c r="E122" t="s">
        <v>102</v>
      </c>
      <c r="F122">
        <v>80875513</v>
      </c>
      <c r="G122" t="s">
        <v>110</v>
      </c>
      <c r="H122" t="s">
        <v>111</v>
      </c>
      <c r="I122">
        <v>2</v>
      </c>
    </row>
    <row r="123" spans="1:9" x14ac:dyDescent="0.25">
      <c r="A123" t="s">
        <v>242</v>
      </c>
      <c r="B123" t="s">
        <v>242</v>
      </c>
      <c r="C123" s="9">
        <v>46246</v>
      </c>
      <c r="E123" t="s">
        <v>102</v>
      </c>
      <c r="F123">
        <v>80875513</v>
      </c>
      <c r="G123" t="s">
        <v>110</v>
      </c>
      <c r="H123" t="s">
        <v>111</v>
      </c>
      <c r="I123">
        <v>13</v>
      </c>
    </row>
    <row r="124" spans="1:9" x14ac:dyDescent="0.25">
      <c r="A124" t="s">
        <v>244</v>
      </c>
      <c r="B124" t="s">
        <v>244</v>
      </c>
      <c r="C124" s="9">
        <v>46246</v>
      </c>
      <c r="E124" t="s">
        <v>102</v>
      </c>
      <c r="F124">
        <v>80875513</v>
      </c>
      <c r="G124" t="s">
        <v>110</v>
      </c>
      <c r="H124" t="s">
        <v>111</v>
      </c>
      <c r="I124">
        <v>11</v>
      </c>
    </row>
    <row r="125" spans="1:9" x14ac:dyDescent="0.25">
      <c r="A125" t="s">
        <v>246</v>
      </c>
      <c r="B125" t="s">
        <v>246</v>
      </c>
      <c r="C125" s="9">
        <v>46246</v>
      </c>
      <c r="E125" t="s">
        <v>102</v>
      </c>
      <c r="F125">
        <v>80875513</v>
      </c>
      <c r="G125" t="s">
        <v>110</v>
      </c>
      <c r="H125" t="s">
        <v>111</v>
      </c>
      <c r="I125">
        <v>1</v>
      </c>
    </row>
    <row r="126" spans="1:9" x14ac:dyDescent="0.25">
      <c r="A126" t="s">
        <v>247</v>
      </c>
      <c r="B126" t="s">
        <v>247</v>
      </c>
      <c r="C126" s="9">
        <v>46246</v>
      </c>
      <c r="E126" t="s">
        <v>102</v>
      </c>
      <c r="F126">
        <v>80875513</v>
      </c>
      <c r="G126" t="s">
        <v>110</v>
      </c>
      <c r="H126" t="s">
        <v>111</v>
      </c>
      <c r="I126">
        <v>4</v>
      </c>
    </row>
    <row r="127" spans="1:9" x14ac:dyDescent="0.25">
      <c r="A127" t="s">
        <v>243</v>
      </c>
      <c r="B127" t="s">
        <v>243</v>
      </c>
      <c r="C127" s="9">
        <v>46246</v>
      </c>
      <c r="E127" t="s">
        <v>102</v>
      </c>
      <c r="F127">
        <v>80875513</v>
      </c>
      <c r="G127" t="s">
        <v>110</v>
      </c>
      <c r="H127" t="s">
        <v>111</v>
      </c>
      <c r="I127">
        <v>3</v>
      </c>
    </row>
    <row r="128" spans="1:9" x14ac:dyDescent="0.25">
      <c r="A128" t="s">
        <v>241</v>
      </c>
      <c r="B128" t="s">
        <v>241</v>
      </c>
      <c r="C128" s="9">
        <v>46246</v>
      </c>
      <c r="E128" t="s">
        <v>102</v>
      </c>
      <c r="F128">
        <v>80875513</v>
      </c>
      <c r="G128" t="s">
        <v>110</v>
      </c>
      <c r="H128" t="s">
        <v>111</v>
      </c>
      <c r="I128">
        <v>12</v>
      </c>
    </row>
    <row r="129" spans="1:9" x14ac:dyDescent="0.25">
      <c r="A129" t="s">
        <v>246</v>
      </c>
      <c r="B129" t="s">
        <v>246</v>
      </c>
      <c r="C129" s="9">
        <v>46246</v>
      </c>
      <c r="E129" t="s">
        <v>102</v>
      </c>
      <c r="F129">
        <v>80864297</v>
      </c>
      <c r="G129" t="s">
        <v>112</v>
      </c>
      <c r="H129" t="s">
        <v>113</v>
      </c>
      <c r="I129">
        <v>10</v>
      </c>
    </row>
    <row r="130" spans="1:9" x14ac:dyDescent="0.25">
      <c r="A130" t="s">
        <v>242</v>
      </c>
      <c r="B130" t="s">
        <v>242</v>
      </c>
      <c r="C130" s="9">
        <v>46246</v>
      </c>
      <c r="E130" t="s">
        <v>102</v>
      </c>
      <c r="F130">
        <v>80864297</v>
      </c>
      <c r="G130" t="s">
        <v>112</v>
      </c>
      <c r="H130" t="s">
        <v>113</v>
      </c>
      <c r="I130">
        <v>242</v>
      </c>
    </row>
    <row r="131" spans="1:9" x14ac:dyDescent="0.25">
      <c r="A131" t="s">
        <v>247</v>
      </c>
      <c r="B131" t="s">
        <v>247</v>
      </c>
      <c r="C131" s="9">
        <v>46246</v>
      </c>
      <c r="E131" t="s">
        <v>102</v>
      </c>
      <c r="F131">
        <v>80864297</v>
      </c>
      <c r="G131" t="s">
        <v>112</v>
      </c>
      <c r="H131" t="s">
        <v>113</v>
      </c>
      <c r="I131">
        <v>25</v>
      </c>
    </row>
    <row r="132" spans="1:9" x14ac:dyDescent="0.25">
      <c r="A132" t="s">
        <v>243</v>
      </c>
      <c r="B132" t="s">
        <v>243</v>
      </c>
      <c r="C132" s="9">
        <v>46246</v>
      </c>
      <c r="E132" t="s">
        <v>102</v>
      </c>
      <c r="F132">
        <v>80864297</v>
      </c>
      <c r="G132" t="s">
        <v>112</v>
      </c>
      <c r="H132" t="s">
        <v>113</v>
      </c>
      <c r="I132">
        <v>50</v>
      </c>
    </row>
    <row r="133" spans="1:9" x14ac:dyDescent="0.25">
      <c r="A133" t="s">
        <v>244</v>
      </c>
      <c r="B133" t="s">
        <v>244</v>
      </c>
      <c r="C133" s="9">
        <v>46246</v>
      </c>
      <c r="E133" t="s">
        <v>102</v>
      </c>
      <c r="F133">
        <v>80864297</v>
      </c>
      <c r="G133" t="s">
        <v>112</v>
      </c>
      <c r="H133" t="s">
        <v>113</v>
      </c>
      <c r="I133">
        <v>135</v>
      </c>
    </row>
    <row r="134" spans="1:9" x14ac:dyDescent="0.25">
      <c r="A134" t="s">
        <v>241</v>
      </c>
      <c r="B134" t="s">
        <v>241</v>
      </c>
      <c r="C134" s="9">
        <v>46246</v>
      </c>
      <c r="E134" t="s">
        <v>102</v>
      </c>
      <c r="F134">
        <v>80864297</v>
      </c>
      <c r="G134" t="s">
        <v>112</v>
      </c>
      <c r="H134" t="s">
        <v>113</v>
      </c>
      <c r="I134">
        <v>37</v>
      </c>
    </row>
    <row r="135" spans="1:9" x14ac:dyDescent="0.25">
      <c r="A135" t="s">
        <v>245</v>
      </c>
      <c r="B135" t="s">
        <v>245</v>
      </c>
      <c r="C135" s="9">
        <v>46246</v>
      </c>
      <c r="E135" t="s">
        <v>102</v>
      </c>
      <c r="F135">
        <v>80864297</v>
      </c>
      <c r="G135" t="s">
        <v>112</v>
      </c>
      <c r="H135" t="s">
        <v>113</v>
      </c>
      <c r="I135">
        <v>18</v>
      </c>
    </row>
    <row r="136" spans="1:9" x14ac:dyDescent="0.25">
      <c r="A136" t="s">
        <v>245</v>
      </c>
      <c r="B136" t="s">
        <v>245</v>
      </c>
      <c r="C136" s="9">
        <v>46246</v>
      </c>
      <c r="E136" t="s">
        <v>102</v>
      </c>
      <c r="F136">
        <v>80840354</v>
      </c>
      <c r="G136" t="s">
        <v>114</v>
      </c>
      <c r="H136" t="s">
        <v>115</v>
      </c>
      <c r="I136">
        <v>2</v>
      </c>
    </row>
    <row r="137" spans="1:9" x14ac:dyDescent="0.25">
      <c r="A137" t="s">
        <v>241</v>
      </c>
      <c r="B137" t="s">
        <v>241</v>
      </c>
      <c r="C137" s="9">
        <v>46246</v>
      </c>
      <c r="E137" t="s">
        <v>102</v>
      </c>
      <c r="F137">
        <v>80840354</v>
      </c>
      <c r="G137" t="s">
        <v>114</v>
      </c>
      <c r="H137" t="s">
        <v>115</v>
      </c>
      <c r="I137">
        <v>4</v>
      </c>
    </row>
    <row r="138" spans="1:9" x14ac:dyDescent="0.25">
      <c r="A138" t="s">
        <v>242</v>
      </c>
      <c r="B138" t="s">
        <v>242</v>
      </c>
      <c r="C138" s="9">
        <v>46246</v>
      </c>
      <c r="E138" t="s">
        <v>102</v>
      </c>
      <c r="F138">
        <v>80840354</v>
      </c>
      <c r="G138" t="s">
        <v>114</v>
      </c>
      <c r="H138" t="s">
        <v>115</v>
      </c>
      <c r="I138">
        <v>23</v>
      </c>
    </row>
    <row r="139" spans="1:9" x14ac:dyDescent="0.25">
      <c r="A139" t="s">
        <v>246</v>
      </c>
      <c r="B139" t="s">
        <v>246</v>
      </c>
      <c r="C139" s="9">
        <v>46246</v>
      </c>
      <c r="E139" t="s">
        <v>102</v>
      </c>
      <c r="F139">
        <v>80840354</v>
      </c>
      <c r="G139" t="s">
        <v>114</v>
      </c>
      <c r="H139" t="s">
        <v>115</v>
      </c>
      <c r="I139">
        <v>1</v>
      </c>
    </row>
    <row r="140" spans="1:9" x14ac:dyDescent="0.25">
      <c r="A140" t="s">
        <v>244</v>
      </c>
      <c r="B140" t="s">
        <v>244</v>
      </c>
      <c r="C140" s="9">
        <v>46246</v>
      </c>
      <c r="E140" t="s">
        <v>102</v>
      </c>
      <c r="F140">
        <v>80840354</v>
      </c>
      <c r="G140" t="s">
        <v>114</v>
      </c>
      <c r="H140" t="s">
        <v>115</v>
      </c>
      <c r="I140">
        <v>4</v>
      </c>
    </row>
    <row r="141" spans="1:9" x14ac:dyDescent="0.25">
      <c r="A141" t="s">
        <v>243</v>
      </c>
      <c r="B141" t="s">
        <v>243</v>
      </c>
      <c r="C141" s="9">
        <v>46246</v>
      </c>
      <c r="E141" t="s">
        <v>102</v>
      </c>
      <c r="F141">
        <v>80832398</v>
      </c>
      <c r="G141" t="s">
        <v>116</v>
      </c>
      <c r="H141" t="s">
        <v>117</v>
      </c>
      <c r="I141">
        <v>3</v>
      </c>
    </row>
    <row r="142" spans="1:9" x14ac:dyDescent="0.25">
      <c r="A142" t="s">
        <v>246</v>
      </c>
      <c r="B142" t="s">
        <v>246</v>
      </c>
      <c r="C142" s="9">
        <v>46246</v>
      </c>
      <c r="E142" t="s">
        <v>102</v>
      </c>
      <c r="F142">
        <v>80832398</v>
      </c>
      <c r="G142" t="s">
        <v>116</v>
      </c>
      <c r="H142" t="s">
        <v>117</v>
      </c>
      <c r="I142">
        <v>1</v>
      </c>
    </row>
    <row r="143" spans="1:9" x14ac:dyDescent="0.25">
      <c r="A143" t="s">
        <v>242</v>
      </c>
      <c r="B143" t="s">
        <v>242</v>
      </c>
      <c r="C143" s="9">
        <v>46246</v>
      </c>
      <c r="E143" t="s">
        <v>102</v>
      </c>
      <c r="F143">
        <v>80832398</v>
      </c>
      <c r="G143" t="s">
        <v>116</v>
      </c>
      <c r="H143" t="s">
        <v>117</v>
      </c>
      <c r="I143">
        <v>9</v>
      </c>
    </row>
    <row r="144" spans="1:9" x14ac:dyDescent="0.25">
      <c r="A144" t="s">
        <v>244</v>
      </c>
      <c r="B144" t="s">
        <v>244</v>
      </c>
      <c r="C144" s="9">
        <v>46246</v>
      </c>
      <c r="E144" t="s">
        <v>102</v>
      </c>
      <c r="F144">
        <v>80832398</v>
      </c>
      <c r="G144" t="s">
        <v>116</v>
      </c>
      <c r="H144" t="s">
        <v>117</v>
      </c>
      <c r="I144">
        <v>7</v>
      </c>
    </row>
    <row r="145" spans="1:9" x14ac:dyDescent="0.25">
      <c r="A145" t="s">
        <v>241</v>
      </c>
      <c r="B145" t="s">
        <v>241</v>
      </c>
      <c r="C145" s="9">
        <v>46246</v>
      </c>
      <c r="E145" t="s">
        <v>102</v>
      </c>
      <c r="F145">
        <v>80832398</v>
      </c>
      <c r="G145" t="s">
        <v>116</v>
      </c>
      <c r="H145" t="s">
        <v>117</v>
      </c>
      <c r="I145">
        <v>2</v>
      </c>
    </row>
    <row r="146" spans="1:9" x14ac:dyDescent="0.25">
      <c r="A146" t="s">
        <v>242</v>
      </c>
      <c r="B146" t="s">
        <v>242</v>
      </c>
      <c r="C146" s="9">
        <v>46246</v>
      </c>
      <c r="E146" t="s">
        <v>102</v>
      </c>
      <c r="F146">
        <v>80832394</v>
      </c>
      <c r="G146" t="s">
        <v>118</v>
      </c>
      <c r="H146" t="s">
        <v>119</v>
      </c>
      <c r="I146">
        <v>3</v>
      </c>
    </row>
    <row r="147" spans="1:9" x14ac:dyDescent="0.25">
      <c r="A147" t="s">
        <v>245</v>
      </c>
      <c r="B147" t="s">
        <v>245</v>
      </c>
      <c r="C147" s="9">
        <v>46246</v>
      </c>
      <c r="E147" t="s">
        <v>102</v>
      </c>
      <c r="F147">
        <v>80832394</v>
      </c>
      <c r="G147" t="s">
        <v>118</v>
      </c>
      <c r="H147" t="s">
        <v>119</v>
      </c>
      <c r="I147">
        <v>1</v>
      </c>
    </row>
    <row r="148" spans="1:9" x14ac:dyDescent="0.25">
      <c r="A148" t="s">
        <v>247</v>
      </c>
      <c r="B148" t="s">
        <v>247</v>
      </c>
      <c r="C148" s="9">
        <v>46246</v>
      </c>
      <c r="E148" t="s">
        <v>102</v>
      </c>
      <c r="F148">
        <v>80832394</v>
      </c>
      <c r="G148" t="s">
        <v>118</v>
      </c>
      <c r="H148" t="s">
        <v>119</v>
      </c>
      <c r="I148">
        <v>1</v>
      </c>
    </row>
    <row r="149" spans="1:9" x14ac:dyDescent="0.25">
      <c r="A149" t="s">
        <v>241</v>
      </c>
      <c r="B149" t="s">
        <v>241</v>
      </c>
      <c r="C149" s="9">
        <v>46246</v>
      </c>
      <c r="E149" t="s">
        <v>102</v>
      </c>
      <c r="F149">
        <v>80832394</v>
      </c>
      <c r="G149" t="s">
        <v>118</v>
      </c>
      <c r="H149" t="s">
        <v>119</v>
      </c>
      <c r="I149">
        <v>5</v>
      </c>
    </row>
    <row r="150" spans="1:9" x14ac:dyDescent="0.25">
      <c r="A150" t="s">
        <v>242</v>
      </c>
      <c r="B150" t="s">
        <v>242</v>
      </c>
      <c r="C150" s="9">
        <v>46246</v>
      </c>
      <c r="E150" t="s">
        <v>102</v>
      </c>
      <c r="F150">
        <v>80797472</v>
      </c>
      <c r="G150" t="s">
        <v>248</v>
      </c>
      <c r="H150" t="s">
        <v>249</v>
      </c>
      <c r="I150">
        <v>1</v>
      </c>
    </row>
    <row r="151" spans="1:9" x14ac:dyDescent="0.25">
      <c r="A151" t="s">
        <v>242</v>
      </c>
      <c r="B151" t="s">
        <v>242</v>
      </c>
      <c r="C151" s="9">
        <v>46246</v>
      </c>
      <c r="E151" t="s">
        <v>102</v>
      </c>
      <c r="F151">
        <v>80797470</v>
      </c>
      <c r="G151" t="s">
        <v>250</v>
      </c>
      <c r="H151" t="s">
        <v>251</v>
      </c>
      <c r="I151">
        <v>1</v>
      </c>
    </row>
    <row r="152" spans="1:9" x14ac:dyDescent="0.25">
      <c r="A152" t="s">
        <v>244</v>
      </c>
      <c r="B152" t="s">
        <v>244</v>
      </c>
      <c r="C152" s="9">
        <v>46246</v>
      </c>
      <c r="E152" t="s">
        <v>102</v>
      </c>
      <c r="F152">
        <v>80797470</v>
      </c>
      <c r="G152" t="s">
        <v>250</v>
      </c>
      <c r="H152" t="s">
        <v>251</v>
      </c>
      <c r="I152">
        <v>1</v>
      </c>
    </row>
    <row r="153" spans="1:9" x14ac:dyDescent="0.25">
      <c r="A153" t="s">
        <v>241</v>
      </c>
      <c r="B153" t="s">
        <v>241</v>
      </c>
      <c r="C153" s="9">
        <v>46246</v>
      </c>
      <c r="E153" t="s">
        <v>102</v>
      </c>
      <c r="F153">
        <v>80797470</v>
      </c>
      <c r="G153" t="s">
        <v>250</v>
      </c>
      <c r="H153" t="s">
        <v>251</v>
      </c>
      <c r="I153">
        <v>1</v>
      </c>
    </row>
    <row r="154" spans="1:9" x14ac:dyDescent="0.25">
      <c r="A154" t="s">
        <v>242</v>
      </c>
      <c r="B154" t="s">
        <v>242</v>
      </c>
      <c r="C154" s="9">
        <v>46246</v>
      </c>
      <c r="E154" t="s">
        <v>102</v>
      </c>
      <c r="F154">
        <v>80867316</v>
      </c>
      <c r="G154" t="s">
        <v>120</v>
      </c>
      <c r="H154" t="s">
        <v>121</v>
      </c>
      <c r="I154">
        <v>8</v>
      </c>
    </row>
    <row r="155" spans="1:9" x14ac:dyDescent="0.25">
      <c r="A155" t="s">
        <v>241</v>
      </c>
      <c r="B155" t="s">
        <v>241</v>
      </c>
      <c r="C155" s="9">
        <v>46246</v>
      </c>
      <c r="E155" t="s">
        <v>102</v>
      </c>
      <c r="F155">
        <v>80867316</v>
      </c>
      <c r="G155" t="s">
        <v>120</v>
      </c>
      <c r="H155" t="s">
        <v>121</v>
      </c>
      <c r="I155">
        <v>2</v>
      </c>
    </row>
    <row r="156" spans="1:9" x14ac:dyDescent="0.25">
      <c r="A156" t="s">
        <v>244</v>
      </c>
      <c r="B156" t="s">
        <v>244</v>
      </c>
      <c r="C156" s="9">
        <v>46246</v>
      </c>
      <c r="E156" t="s">
        <v>102</v>
      </c>
      <c r="F156">
        <v>83904003</v>
      </c>
      <c r="G156" t="s">
        <v>122</v>
      </c>
      <c r="H156" t="s">
        <v>123</v>
      </c>
      <c r="I156">
        <v>16</v>
      </c>
    </row>
    <row r="157" spans="1:9" x14ac:dyDescent="0.25">
      <c r="A157" t="s">
        <v>247</v>
      </c>
      <c r="B157" t="s">
        <v>247</v>
      </c>
      <c r="C157" s="9">
        <v>46246</v>
      </c>
      <c r="E157" t="s">
        <v>102</v>
      </c>
      <c r="F157">
        <v>83904003</v>
      </c>
      <c r="G157" t="s">
        <v>122</v>
      </c>
      <c r="H157" t="s">
        <v>123</v>
      </c>
      <c r="I157">
        <v>2</v>
      </c>
    </row>
    <row r="158" spans="1:9" x14ac:dyDescent="0.25">
      <c r="A158" t="s">
        <v>242</v>
      </c>
      <c r="B158" t="s">
        <v>242</v>
      </c>
      <c r="C158" s="9">
        <v>46246</v>
      </c>
      <c r="E158" t="s">
        <v>102</v>
      </c>
      <c r="F158">
        <v>83904003</v>
      </c>
      <c r="G158" t="s">
        <v>122</v>
      </c>
      <c r="H158" t="s">
        <v>123</v>
      </c>
      <c r="I158">
        <v>76</v>
      </c>
    </row>
    <row r="159" spans="1:9" x14ac:dyDescent="0.25">
      <c r="A159" t="s">
        <v>246</v>
      </c>
      <c r="B159" t="s">
        <v>246</v>
      </c>
      <c r="C159" s="9">
        <v>46246</v>
      </c>
      <c r="E159" t="s">
        <v>102</v>
      </c>
      <c r="F159">
        <v>83904003</v>
      </c>
      <c r="G159" t="s">
        <v>122</v>
      </c>
      <c r="H159" t="s">
        <v>123</v>
      </c>
      <c r="I159">
        <v>6</v>
      </c>
    </row>
    <row r="160" spans="1:9" x14ac:dyDescent="0.25">
      <c r="A160" t="s">
        <v>243</v>
      </c>
      <c r="B160" t="s">
        <v>243</v>
      </c>
      <c r="C160" s="9">
        <v>46246</v>
      </c>
      <c r="E160" t="s">
        <v>102</v>
      </c>
      <c r="F160">
        <v>83904003</v>
      </c>
      <c r="G160" t="s">
        <v>122</v>
      </c>
      <c r="H160" t="s">
        <v>123</v>
      </c>
      <c r="I160">
        <v>8</v>
      </c>
    </row>
    <row r="161" spans="1:9" x14ac:dyDescent="0.25">
      <c r="A161" t="s">
        <v>241</v>
      </c>
      <c r="B161" t="s">
        <v>241</v>
      </c>
      <c r="C161" s="9">
        <v>46246</v>
      </c>
      <c r="E161" t="s">
        <v>102</v>
      </c>
      <c r="F161">
        <v>83904003</v>
      </c>
      <c r="G161" t="s">
        <v>122</v>
      </c>
      <c r="H161" t="s">
        <v>123</v>
      </c>
      <c r="I161">
        <v>12</v>
      </c>
    </row>
    <row r="162" spans="1:9" x14ac:dyDescent="0.25">
      <c r="A162" t="s">
        <v>244</v>
      </c>
      <c r="B162" t="s">
        <v>244</v>
      </c>
      <c r="C162" s="9">
        <v>46246</v>
      </c>
      <c r="E162" t="s">
        <v>102</v>
      </c>
      <c r="F162">
        <v>80876082</v>
      </c>
      <c r="G162" t="s">
        <v>124</v>
      </c>
      <c r="H162" t="s">
        <v>125</v>
      </c>
      <c r="I162">
        <v>3</v>
      </c>
    </row>
    <row r="163" spans="1:9" x14ac:dyDescent="0.25">
      <c r="A163" t="s">
        <v>242</v>
      </c>
      <c r="B163" t="s">
        <v>242</v>
      </c>
      <c r="C163" s="9">
        <v>46246</v>
      </c>
      <c r="E163" t="s">
        <v>102</v>
      </c>
      <c r="F163">
        <v>80876082</v>
      </c>
      <c r="G163" t="s">
        <v>124</v>
      </c>
      <c r="H163" t="s">
        <v>125</v>
      </c>
      <c r="I163">
        <v>7</v>
      </c>
    </row>
    <row r="164" spans="1:9" x14ac:dyDescent="0.25">
      <c r="A164" t="s">
        <v>241</v>
      </c>
      <c r="B164" t="s">
        <v>241</v>
      </c>
      <c r="C164" s="9">
        <v>46246</v>
      </c>
      <c r="E164" t="s">
        <v>102</v>
      </c>
      <c r="F164">
        <v>80876082</v>
      </c>
      <c r="G164" t="s">
        <v>124</v>
      </c>
      <c r="H164" t="s">
        <v>125</v>
      </c>
      <c r="I164">
        <v>2</v>
      </c>
    </row>
    <row r="165" spans="1:9" x14ac:dyDescent="0.25">
      <c r="A165" t="s">
        <v>241</v>
      </c>
      <c r="B165" t="s">
        <v>241</v>
      </c>
      <c r="C165" s="9">
        <v>46246</v>
      </c>
      <c r="E165" t="s">
        <v>102</v>
      </c>
      <c r="F165">
        <v>80803710</v>
      </c>
      <c r="G165" t="s">
        <v>126</v>
      </c>
      <c r="H165" t="s">
        <v>127</v>
      </c>
      <c r="I165">
        <v>1</v>
      </c>
    </row>
    <row r="166" spans="1:9" x14ac:dyDescent="0.25">
      <c r="A166" t="s">
        <v>244</v>
      </c>
      <c r="B166" t="s">
        <v>244</v>
      </c>
      <c r="C166" s="9">
        <v>46246</v>
      </c>
      <c r="E166" t="s">
        <v>102</v>
      </c>
      <c r="F166">
        <v>80803710</v>
      </c>
      <c r="G166" t="s">
        <v>126</v>
      </c>
      <c r="H166" t="s">
        <v>127</v>
      </c>
      <c r="I166">
        <v>1</v>
      </c>
    </row>
    <row r="167" spans="1:9" x14ac:dyDescent="0.25">
      <c r="A167" t="s">
        <v>242</v>
      </c>
      <c r="B167" t="s">
        <v>242</v>
      </c>
      <c r="C167" s="9">
        <v>46246</v>
      </c>
      <c r="E167" t="s">
        <v>102</v>
      </c>
      <c r="F167">
        <v>80803710</v>
      </c>
      <c r="G167" t="s">
        <v>126</v>
      </c>
      <c r="H167" t="s">
        <v>127</v>
      </c>
      <c r="I167">
        <v>1</v>
      </c>
    </row>
    <row r="168" spans="1:9" x14ac:dyDescent="0.25">
      <c r="A168" t="s">
        <v>247</v>
      </c>
      <c r="B168" t="s">
        <v>247</v>
      </c>
      <c r="C168" s="9">
        <v>46246</v>
      </c>
      <c r="E168" t="s">
        <v>102</v>
      </c>
      <c r="F168">
        <v>80803712</v>
      </c>
      <c r="G168" t="s">
        <v>252</v>
      </c>
      <c r="H168" t="s">
        <v>253</v>
      </c>
      <c r="I168">
        <v>1</v>
      </c>
    </row>
    <row r="169" spans="1:9" x14ac:dyDescent="0.25">
      <c r="A169" t="s">
        <v>241</v>
      </c>
      <c r="B169" t="s">
        <v>241</v>
      </c>
      <c r="C169" s="9">
        <v>46246</v>
      </c>
      <c r="E169" t="s">
        <v>102</v>
      </c>
      <c r="F169">
        <v>80803712</v>
      </c>
      <c r="G169" t="s">
        <v>252</v>
      </c>
      <c r="H169" t="s">
        <v>253</v>
      </c>
      <c r="I169">
        <v>1</v>
      </c>
    </row>
    <row r="170" spans="1:9" x14ac:dyDescent="0.25">
      <c r="A170" t="s">
        <v>241</v>
      </c>
      <c r="B170" t="s">
        <v>241</v>
      </c>
      <c r="C170" s="9">
        <v>46246</v>
      </c>
      <c r="E170" t="s">
        <v>102</v>
      </c>
      <c r="F170">
        <v>80864300</v>
      </c>
      <c r="G170" t="s">
        <v>128</v>
      </c>
      <c r="H170" t="s">
        <v>129</v>
      </c>
      <c r="I170">
        <v>8</v>
      </c>
    </row>
    <row r="171" spans="1:9" x14ac:dyDescent="0.25">
      <c r="A171" t="s">
        <v>242</v>
      </c>
      <c r="B171" t="s">
        <v>242</v>
      </c>
      <c r="C171" s="9">
        <v>46246</v>
      </c>
      <c r="E171" t="s">
        <v>102</v>
      </c>
      <c r="F171">
        <v>80864300</v>
      </c>
      <c r="G171" t="s">
        <v>128</v>
      </c>
      <c r="H171" t="s">
        <v>129</v>
      </c>
      <c r="I171">
        <v>26</v>
      </c>
    </row>
    <row r="172" spans="1:9" x14ac:dyDescent="0.25">
      <c r="A172" t="s">
        <v>244</v>
      </c>
      <c r="B172" t="s">
        <v>244</v>
      </c>
      <c r="C172" s="9">
        <v>46246</v>
      </c>
      <c r="E172" t="s">
        <v>102</v>
      </c>
      <c r="F172">
        <v>80864300</v>
      </c>
      <c r="G172" t="s">
        <v>128</v>
      </c>
      <c r="H172" t="s">
        <v>129</v>
      </c>
      <c r="I172">
        <v>2</v>
      </c>
    </row>
    <row r="173" spans="1:9" x14ac:dyDescent="0.25">
      <c r="A173" t="s">
        <v>243</v>
      </c>
      <c r="B173" t="s">
        <v>243</v>
      </c>
      <c r="C173" s="9">
        <v>46246</v>
      </c>
      <c r="E173" t="s">
        <v>102</v>
      </c>
      <c r="F173">
        <v>80864300</v>
      </c>
      <c r="G173" t="s">
        <v>128</v>
      </c>
      <c r="H173" t="s">
        <v>129</v>
      </c>
      <c r="I173">
        <v>2</v>
      </c>
    </row>
    <row r="174" spans="1:9" x14ac:dyDescent="0.25">
      <c r="A174" t="s">
        <v>247</v>
      </c>
      <c r="B174" t="s">
        <v>247</v>
      </c>
      <c r="C174" s="9">
        <v>46246</v>
      </c>
      <c r="E174" t="s">
        <v>102</v>
      </c>
      <c r="F174">
        <v>80864300</v>
      </c>
      <c r="G174" t="s">
        <v>128</v>
      </c>
      <c r="H174" t="s">
        <v>129</v>
      </c>
      <c r="I174">
        <v>2</v>
      </c>
    </row>
    <row r="175" spans="1:9" x14ac:dyDescent="0.25">
      <c r="A175" t="s">
        <v>245</v>
      </c>
      <c r="B175" t="s">
        <v>245</v>
      </c>
      <c r="C175" s="9">
        <v>46246</v>
      </c>
      <c r="E175" t="s">
        <v>102</v>
      </c>
      <c r="F175">
        <v>80864300</v>
      </c>
      <c r="G175" t="s">
        <v>128</v>
      </c>
      <c r="H175" t="s">
        <v>129</v>
      </c>
      <c r="I175">
        <v>6</v>
      </c>
    </row>
    <row r="176" spans="1:9" x14ac:dyDescent="0.25">
      <c r="A176" t="s">
        <v>242</v>
      </c>
      <c r="B176" t="s">
        <v>242</v>
      </c>
      <c r="C176" s="9">
        <v>46246</v>
      </c>
      <c r="E176" t="s">
        <v>102</v>
      </c>
      <c r="F176">
        <v>80875507</v>
      </c>
      <c r="G176" t="s">
        <v>130</v>
      </c>
      <c r="H176" t="s">
        <v>131</v>
      </c>
      <c r="I176">
        <v>8</v>
      </c>
    </row>
    <row r="177" spans="1:9" x14ac:dyDescent="0.25">
      <c r="A177" t="s">
        <v>244</v>
      </c>
      <c r="B177" t="s">
        <v>244</v>
      </c>
      <c r="C177" s="9">
        <v>46246</v>
      </c>
      <c r="E177" t="s">
        <v>102</v>
      </c>
      <c r="F177">
        <v>80875507</v>
      </c>
      <c r="G177" t="s">
        <v>130</v>
      </c>
      <c r="H177" t="s">
        <v>131</v>
      </c>
      <c r="I177">
        <v>4</v>
      </c>
    </row>
    <row r="178" spans="1:9" x14ac:dyDescent="0.25">
      <c r="A178" t="s">
        <v>244</v>
      </c>
      <c r="B178" t="s">
        <v>244</v>
      </c>
      <c r="C178" s="9">
        <v>46246</v>
      </c>
      <c r="E178" t="s">
        <v>102</v>
      </c>
      <c r="F178">
        <v>80818346</v>
      </c>
      <c r="G178" t="s">
        <v>254</v>
      </c>
      <c r="H178" t="s">
        <v>255</v>
      </c>
      <c r="I178">
        <v>2</v>
      </c>
    </row>
    <row r="179" spans="1:9" x14ac:dyDescent="0.25">
      <c r="A179" t="s">
        <v>243</v>
      </c>
      <c r="B179" t="s">
        <v>243</v>
      </c>
      <c r="C179" s="9">
        <v>46246</v>
      </c>
      <c r="E179" t="s">
        <v>102</v>
      </c>
      <c r="F179">
        <v>80818346</v>
      </c>
      <c r="G179" t="s">
        <v>254</v>
      </c>
      <c r="H179" t="s">
        <v>255</v>
      </c>
      <c r="I179">
        <v>1</v>
      </c>
    </row>
    <row r="180" spans="1:9" x14ac:dyDescent="0.25">
      <c r="A180" t="s">
        <v>244</v>
      </c>
      <c r="B180" t="s">
        <v>244</v>
      </c>
      <c r="C180" s="9">
        <v>46246</v>
      </c>
      <c r="E180" t="s">
        <v>102</v>
      </c>
      <c r="F180">
        <v>80818341</v>
      </c>
      <c r="G180" t="s">
        <v>132</v>
      </c>
      <c r="H180" t="s">
        <v>133</v>
      </c>
      <c r="I180">
        <v>1</v>
      </c>
    </row>
    <row r="181" spans="1:9" x14ac:dyDescent="0.25">
      <c r="A181" t="s">
        <v>241</v>
      </c>
      <c r="B181" t="s">
        <v>241</v>
      </c>
      <c r="C181" s="9">
        <v>46246</v>
      </c>
      <c r="E181" t="s">
        <v>102</v>
      </c>
      <c r="F181">
        <v>80818341</v>
      </c>
      <c r="G181" t="s">
        <v>132</v>
      </c>
      <c r="H181" t="s">
        <v>133</v>
      </c>
      <c r="I181">
        <v>1</v>
      </c>
    </row>
    <row r="182" spans="1:9" x14ac:dyDescent="0.25">
      <c r="A182" t="s">
        <v>242</v>
      </c>
      <c r="B182" t="s">
        <v>242</v>
      </c>
      <c r="C182" s="9">
        <v>46246</v>
      </c>
      <c r="E182" t="s">
        <v>102</v>
      </c>
      <c r="F182">
        <v>80895603</v>
      </c>
      <c r="G182" t="s">
        <v>134</v>
      </c>
      <c r="H182" t="s">
        <v>135</v>
      </c>
      <c r="I182">
        <v>2</v>
      </c>
    </row>
    <row r="183" spans="1:9" x14ac:dyDescent="0.25">
      <c r="A183" t="s">
        <v>244</v>
      </c>
      <c r="B183" t="s">
        <v>244</v>
      </c>
      <c r="C183" s="9">
        <v>46246</v>
      </c>
      <c r="E183" t="s">
        <v>102</v>
      </c>
      <c r="F183">
        <v>80895603</v>
      </c>
      <c r="G183" t="s">
        <v>134</v>
      </c>
      <c r="H183" t="s">
        <v>135</v>
      </c>
      <c r="I183">
        <v>2</v>
      </c>
    </row>
    <row r="184" spans="1:9" x14ac:dyDescent="0.25">
      <c r="A184" t="s">
        <v>242</v>
      </c>
      <c r="B184" t="s">
        <v>242</v>
      </c>
      <c r="C184" s="9">
        <v>46246</v>
      </c>
      <c r="E184" t="s">
        <v>102</v>
      </c>
      <c r="F184">
        <v>80895783</v>
      </c>
      <c r="G184" t="s">
        <v>256</v>
      </c>
      <c r="H184" t="s">
        <v>257</v>
      </c>
      <c r="I184">
        <v>4</v>
      </c>
    </row>
    <row r="185" spans="1:9" x14ac:dyDescent="0.25">
      <c r="A185" t="s">
        <v>242</v>
      </c>
      <c r="B185" t="s">
        <v>242</v>
      </c>
      <c r="C185" s="9">
        <v>46246</v>
      </c>
      <c r="E185" t="s">
        <v>102</v>
      </c>
      <c r="F185">
        <v>80894418</v>
      </c>
      <c r="G185" t="s">
        <v>258</v>
      </c>
      <c r="H185" t="s">
        <v>259</v>
      </c>
      <c r="I185">
        <v>2</v>
      </c>
    </row>
    <row r="186" spans="1:9" x14ac:dyDescent="0.25">
      <c r="A186" t="s">
        <v>244</v>
      </c>
      <c r="B186" t="s">
        <v>244</v>
      </c>
      <c r="C186" s="9">
        <v>46246</v>
      </c>
      <c r="E186" t="s">
        <v>102</v>
      </c>
      <c r="F186">
        <v>80894404</v>
      </c>
      <c r="G186" t="s">
        <v>260</v>
      </c>
      <c r="H186" t="s">
        <v>261</v>
      </c>
      <c r="I186">
        <v>2</v>
      </c>
    </row>
    <row r="187" spans="1:9" x14ac:dyDescent="0.25">
      <c r="A187" t="s">
        <v>242</v>
      </c>
      <c r="B187" t="s">
        <v>242</v>
      </c>
      <c r="C187" s="9">
        <v>46246</v>
      </c>
      <c r="E187" t="s">
        <v>102</v>
      </c>
      <c r="F187">
        <v>80895602</v>
      </c>
      <c r="G187" t="s">
        <v>262</v>
      </c>
      <c r="H187" t="s">
        <v>263</v>
      </c>
      <c r="I187">
        <v>2</v>
      </c>
    </row>
    <row r="188" spans="1:9" x14ac:dyDescent="0.25">
      <c r="A188" t="s">
        <v>241</v>
      </c>
      <c r="B188" t="s">
        <v>241</v>
      </c>
      <c r="C188" s="9">
        <v>46246</v>
      </c>
      <c r="E188" t="s">
        <v>102</v>
      </c>
      <c r="F188">
        <v>80895602</v>
      </c>
      <c r="G188" t="s">
        <v>262</v>
      </c>
      <c r="H188" t="s">
        <v>263</v>
      </c>
      <c r="I188">
        <v>4</v>
      </c>
    </row>
    <row r="189" spans="1:9" x14ac:dyDescent="0.25">
      <c r="A189" t="s">
        <v>247</v>
      </c>
      <c r="B189" t="s">
        <v>247</v>
      </c>
      <c r="C189" s="9">
        <v>46246</v>
      </c>
      <c r="E189" t="s">
        <v>102</v>
      </c>
      <c r="F189">
        <v>80895602</v>
      </c>
      <c r="G189" t="s">
        <v>262</v>
      </c>
      <c r="H189" t="s">
        <v>263</v>
      </c>
      <c r="I189">
        <v>6</v>
      </c>
    </row>
    <row r="190" spans="1:9" x14ac:dyDescent="0.25">
      <c r="A190" t="s">
        <v>244</v>
      </c>
      <c r="B190" t="s">
        <v>244</v>
      </c>
      <c r="C190" s="9">
        <v>46246</v>
      </c>
      <c r="E190" t="s">
        <v>102</v>
      </c>
      <c r="F190">
        <v>80895602</v>
      </c>
      <c r="G190" t="s">
        <v>262</v>
      </c>
      <c r="H190" t="s">
        <v>263</v>
      </c>
      <c r="I190">
        <v>2</v>
      </c>
    </row>
    <row r="191" spans="1:9" x14ac:dyDescent="0.25">
      <c r="A191" t="s">
        <v>243</v>
      </c>
      <c r="B191" t="s">
        <v>243</v>
      </c>
      <c r="C191" s="9">
        <v>46246</v>
      </c>
      <c r="E191" t="s">
        <v>102</v>
      </c>
      <c r="F191">
        <v>80895602</v>
      </c>
      <c r="G191" t="s">
        <v>262</v>
      </c>
      <c r="H191" t="s">
        <v>263</v>
      </c>
      <c r="I191">
        <v>2</v>
      </c>
    </row>
    <row r="192" spans="1:9" x14ac:dyDescent="0.25">
      <c r="A192" t="s">
        <v>242</v>
      </c>
      <c r="B192" t="s">
        <v>242</v>
      </c>
      <c r="C192" s="9">
        <v>46246</v>
      </c>
      <c r="E192" t="s">
        <v>102</v>
      </c>
      <c r="F192">
        <v>80865298</v>
      </c>
      <c r="G192" t="s">
        <v>138</v>
      </c>
      <c r="H192" t="s">
        <v>139</v>
      </c>
      <c r="I192">
        <v>1</v>
      </c>
    </row>
    <row r="193" spans="1:9" x14ac:dyDescent="0.25">
      <c r="A193" t="s">
        <v>243</v>
      </c>
      <c r="B193" t="s">
        <v>243</v>
      </c>
      <c r="C193" s="9">
        <v>46246</v>
      </c>
      <c r="E193" t="s">
        <v>102</v>
      </c>
      <c r="F193">
        <v>80866729</v>
      </c>
      <c r="G193" t="s">
        <v>140</v>
      </c>
      <c r="H193" t="s">
        <v>141</v>
      </c>
      <c r="I193">
        <v>38</v>
      </c>
    </row>
    <row r="194" spans="1:9" x14ac:dyDescent="0.25">
      <c r="A194" t="s">
        <v>246</v>
      </c>
      <c r="B194" t="s">
        <v>246</v>
      </c>
      <c r="C194" s="9">
        <v>46246</v>
      </c>
      <c r="E194" t="s">
        <v>102</v>
      </c>
      <c r="F194">
        <v>80866729</v>
      </c>
      <c r="G194" t="s">
        <v>140</v>
      </c>
      <c r="H194" t="s">
        <v>141</v>
      </c>
      <c r="I194">
        <v>2</v>
      </c>
    </row>
    <row r="195" spans="1:9" x14ac:dyDescent="0.25">
      <c r="A195" t="s">
        <v>242</v>
      </c>
      <c r="B195" t="s">
        <v>242</v>
      </c>
      <c r="C195" s="9">
        <v>46246</v>
      </c>
      <c r="E195" t="s">
        <v>102</v>
      </c>
      <c r="F195">
        <v>80866729</v>
      </c>
      <c r="G195" t="s">
        <v>140</v>
      </c>
      <c r="H195" t="s">
        <v>141</v>
      </c>
      <c r="I195">
        <v>42</v>
      </c>
    </row>
    <row r="196" spans="1:9" x14ac:dyDescent="0.25">
      <c r="A196" t="s">
        <v>244</v>
      </c>
      <c r="B196" t="s">
        <v>244</v>
      </c>
      <c r="C196" s="9">
        <v>46246</v>
      </c>
      <c r="E196" t="s">
        <v>102</v>
      </c>
      <c r="F196">
        <v>80866729</v>
      </c>
      <c r="G196" t="s">
        <v>140</v>
      </c>
      <c r="H196" t="s">
        <v>141</v>
      </c>
      <c r="I196">
        <v>24</v>
      </c>
    </row>
    <row r="197" spans="1:9" x14ac:dyDescent="0.25">
      <c r="A197" t="s">
        <v>241</v>
      </c>
      <c r="B197" t="s">
        <v>241</v>
      </c>
      <c r="C197" s="9">
        <v>46246</v>
      </c>
      <c r="E197" t="s">
        <v>102</v>
      </c>
      <c r="F197">
        <v>80866729</v>
      </c>
      <c r="G197" t="s">
        <v>140</v>
      </c>
      <c r="H197" t="s">
        <v>141</v>
      </c>
      <c r="I197">
        <v>10</v>
      </c>
    </row>
    <row r="198" spans="1:9" x14ac:dyDescent="0.25">
      <c r="A198" t="s">
        <v>245</v>
      </c>
      <c r="B198" t="s">
        <v>245</v>
      </c>
      <c r="C198" s="9">
        <v>46246</v>
      </c>
      <c r="E198" t="s">
        <v>102</v>
      </c>
      <c r="F198">
        <v>80866729</v>
      </c>
      <c r="G198" t="s">
        <v>140</v>
      </c>
      <c r="H198" t="s">
        <v>141</v>
      </c>
      <c r="I198">
        <v>47</v>
      </c>
    </row>
    <row r="199" spans="1:9" x14ac:dyDescent="0.25">
      <c r="A199" t="s">
        <v>244</v>
      </c>
      <c r="B199" t="s">
        <v>244</v>
      </c>
      <c r="C199" s="9">
        <v>46246</v>
      </c>
      <c r="E199" t="s">
        <v>102</v>
      </c>
      <c r="F199">
        <v>80866723</v>
      </c>
      <c r="G199" t="s">
        <v>142</v>
      </c>
      <c r="H199" t="s">
        <v>143</v>
      </c>
      <c r="I199">
        <v>12</v>
      </c>
    </row>
    <row r="200" spans="1:9" x14ac:dyDescent="0.25">
      <c r="A200" t="s">
        <v>243</v>
      </c>
      <c r="B200" t="s">
        <v>243</v>
      </c>
      <c r="C200" s="9">
        <v>46246</v>
      </c>
      <c r="E200" t="s">
        <v>102</v>
      </c>
      <c r="F200">
        <v>80866723</v>
      </c>
      <c r="G200" t="s">
        <v>142</v>
      </c>
      <c r="H200" t="s">
        <v>143</v>
      </c>
      <c r="I200">
        <v>11</v>
      </c>
    </row>
    <row r="201" spans="1:9" x14ac:dyDescent="0.25">
      <c r="A201" t="s">
        <v>241</v>
      </c>
      <c r="B201" t="s">
        <v>241</v>
      </c>
      <c r="C201" s="9">
        <v>46246</v>
      </c>
      <c r="E201" t="s">
        <v>102</v>
      </c>
      <c r="F201">
        <v>80866723</v>
      </c>
      <c r="G201" t="s">
        <v>142</v>
      </c>
      <c r="H201" t="s">
        <v>143</v>
      </c>
      <c r="I201">
        <v>21</v>
      </c>
    </row>
    <row r="202" spans="1:9" x14ac:dyDescent="0.25">
      <c r="A202" t="s">
        <v>245</v>
      </c>
      <c r="B202" t="s">
        <v>245</v>
      </c>
      <c r="C202" s="9">
        <v>46246</v>
      </c>
      <c r="E202" t="s">
        <v>102</v>
      </c>
      <c r="F202">
        <v>80866723</v>
      </c>
      <c r="G202" t="s">
        <v>142</v>
      </c>
      <c r="H202" t="s">
        <v>143</v>
      </c>
      <c r="I202">
        <v>17</v>
      </c>
    </row>
    <row r="203" spans="1:9" x14ac:dyDescent="0.25">
      <c r="A203" t="s">
        <v>247</v>
      </c>
      <c r="B203" t="s">
        <v>247</v>
      </c>
      <c r="C203" s="9">
        <v>46246</v>
      </c>
      <c r="E203" t="s">
        <v>102</v>
      </c>
      <c r="F203">
        <v>80866723</v>
      </c>
      <c r="G203" t="s">
        <v>142</v>
      </c>
      <c r="H203" t="s">
        <v>143</v>
      </c>
      <c r="I203">
        <v>3</v>
      </c>
    </row>
    <row r="204" spans="1:9" x14ac:dyDescent="0.25">
      <c r="A204" t="s">
        <v>246</v>
      </c>
      <c r="B204" t="s">
        <v>246</v>
      </c>
      <c r="C204" s="9">
        <v>46246</v>
      </c>
      <c r="E204" t="s">
        <v>102</v>
      </c>
      <c r="F204">
        <v>80866723</v>
      </c>
      <c r="G204" t="s">
        <v>142</v>
      </c>
      <c r="H204" t="s">
        <v>143</v>
      </c>
      <c r="I204">
        <v>4</v>
      </c>
    </row>
    <row r="205" spans="1:9" x14ac:dyDescent="0.25">
      <c r="A205" t="s">
        <v>242</v>
      </c>
      <c r="B205" t="s">
        <v>242</v>
      </c>
      <c r="C205" s="9">
        <v>46246</v>
      </c>
      <c r="E205" t="s">
        <v>102</v>
      </c>
      <c r="F205">
        <v>80866723</v>
      </c>
      <c r="G205" t="s">
        <v>142</v>
      </c>
      <c r="H205" t="s">
        <v>143</v>
      </c>
      <c r="I205">
        <v>34</v>
      </c>
    </row>
    <row r="206" spans="1:9" x14ac:dyDescent="0.25">
      <c r="A206" t="s">
        <v>241</v>
      </c>
      <c r="B206" t="s">
        <v>241</v>
      </c>
      <c r="C206" s="9">
        <v>46246</v>
      </c>
      <c r="E206" t="s">
        <v>102</v>
      </c>
      <c r="F206">
        <v>80866728</v>
      </c>
      <c r="G206" t="s">
        <v>144</v>
      </c>
      <c r="H206" t="s">
        <v>145</v>
      </c>
      <c r="I206">
        <v>2</v>
      </c>
    </row>
    <row r="207" spans="1:9" x14ac:dyDescent="0.25">
      <c r="A207" t="s">
        <v>241</v>
      </c>
      <c r="B207" t="s">
        <v>241</v>
      </c>
      <c r="C207" s="9">
        <v>46246</v>
      </c>
      <c r="E207" t="s">
        <v>102</v>
      </c>
      <c r="F207">
        <v>80866725</v>
      </c>
      <c r="G207" t="s">
        <v>146</v>
      </c>
      <c r="H207" t="s">
        <v>147</v>
      </c>
      <c r="I207">
        <v>1</v>
      </c>
    </row>
    <row r="208" spans="1:9" x14ac:dyDescent="0.25">
      <c r="A208" t="s">
        <v>246</v>
      </c>
      <c r="B208" t="s">
        <v>246</v>
      </c>
      <c r="C208" s="9">
        <v>46246</v>
      </c>
      <c r="E208" t="s">
        <v>102</v>
      </c>
      <c r="F208">
        <v>80866727</v>
      </c>
      <c r="G208" t="s">
        <v>264</v>
      </c>
      <c r="H208" t="s">
        <v>265</v>
      </c>
      <c r="I208">
        <v>1</v>
      </c>
    </row>
    <row r="209" spans="1:9" x14ac:dyDescent="0.25">
      <c r="A209" t="s">
        <v>242</v>
      </c>
      <c r="B209" t="s">
        <v>242</v>
      </c>
      <c r="C209" s="9">
        <v>46246</v>
      </c>
      <c r="E209" t="s">
        <v>102</v>
      </c>
      <c r="F209">
        <v>80866724</v>
      </c>
      <c r="G209" t="s">
        <v>266</v>
      </c>
      <c r="H209" t="s">
        <v>267</v>
      </c>
      <c r="I209">
        <v>1</v>
      </c>
    </row>
    <row r="210" spans="1:9" x14ac:dyDescent="0.25">
      <c r="A210" t="s">
        <v>242</v>
      </c>
      <c r="B210" t="s">
        <v>242</v>
      </c>
      <c r="C210" s="9">
        <v>46246</v>
      </c>
      <c r="E210" t="s">
        <v>102</v>
      </c>
      <c r="F210">
        <v>80866726</v>
      </c>
      <c r="G210" t="s">
        <v>148</v>
      </c>
      <c r="H210" t="s">
        <v>149</v>
      </c>
      <c r="I210">
        <v>9</v>
      </c>
    </row>
    <row r="211" spans="1:9" x14ac:dyDescent="0.25">
      <c r="A211" t="s">
        <v>244</v>
      </c>
      <c r="B211" t="s">
        <v>244</v>
      </c>
      <c r="C211" s="9">
        <v>46246</v>
      </c>
      <c r="E211" t="s">
        <v>102</v>
      </c>
      <c r="F211">
        <v>80866726</v>
      </c>
      <c r="G211" t="s">
        <v>148</v>
      </c>
      <c r="H211" t="s">
        <v>149</v>
      </c>
      <c r="I211">
        <v>3</v>
      </c>
    </row>
    <row r="212" spans="1:9" x14ac:dyDescent="0.25">
      <c r="A212" t="s">
        <v>243</v>
      </c>
      <c r="B212" t="s">
        <v>243</v>
      </c>
      <c r="C212" s="9">
        <v>46246</v>
      </c>
      <c r="E212" t="s">
        <v>102</v>
      </c>
      <c r="F212">
        <v>80866726</v>
      </c>
      <c r="G212" t="s">
        <v>148</v>
      </c>
      <c r="H212" t="s">
        <v>149</v>
      </c>
      <c r="I212">
        <v>3</v>
      </c>
    </row>
    <row r="213" spans="1:9" x14ac:dyDescent="0.25">
      <c r="A213" t="s">
        <v>241</v>
      </c>
      <c r="B213" t="s">
        <v>241</v>
      </c>
      <c r="C213" s="9">
        <v>46246</v>
      </c>
      <c r="E213" t="s">
        <v>102</v>
      </c>
      <c r="F213">
        <v>80862826</v>
      </c>
      <c r="G213" t="s">
        <v>268</v>
      </c>
      <c r="H213" t="s">
        <v>269</v>
      </c>
      <c r="I213">
        <v>3</v>
      </c>
    </row>
    <row r="214" spans="1:9" x14ac:dyDescent="0.25">
      <c r="A214" t="s">
        <v>242</v>
      </c>
      <c r="B214" t="s">
        <v>242</v>
      </c>
      <c r="C214" s="9">
        <v>46246</v>
      </c>
      <c r="E214" t="s">
        <v>102</v>
      </c>
      <c r="F214">
        <v>80862826</v>
      </c>
      <c r="G214" t="s">
        <v>268</v>
      </c>
      <c r="H214" t="s">
        <v>269</v>
      </c>
      <c r="I214">
        <v>3</v>
      </c>
    </row>
    <row r="215" spans="1:9" x14ac:dyDescent="0.25">
      <c r="A215" t="s">
        <v>242</v>
      </c>
      <c r="B215" t="s">
        <v>242</v>
      </c>
      <c r="C215" s="9">
        <v>46246</v>
      </c>
      <c r="E215" t="s">
        <v>102</v>
      </c>
      <c r="F215">
        <v>80862828</v>
      </c>
      <c r="G215" t="s">
        <v>150</v>
      </c>
      <c r="H215" t="s">
        <v>151</v>
      </c>
      <c r="I215">
        <v>3</v>
      </c>
    </row>
    <row r="216" spans="1:9" x14ac:dyDescent="0.25">
      <c r="A216" t="s">
        <v>244</v>
      </c>
      <c r="B216" t="s">
        <v>244</v>
      </c>
      <c r="C216" s="9">
        <v>46246</v>
      </c>
      <c r="E216" t="s">
        <v>102</v>
      </c>
      <c r="F216">
        <v>80862828</v>
      </c>
      <c r="G216" t="s">
        <v>150</v>
      </c>
      <c r="H216" t="s">
        <v>151</v>
      </c>
      <c r="I216">
        <v>3</v>
      </c>
    </row>
    <row r="217" spans="1:9" x14ac:dyDescent="0.25">
      <c r="A217" t="s">
        <v>244</v>
      </c>
      <c r="B217" t="s">
        <v>244</v>
      </c>
      <c r="C217" s="9">
        <v>46246</v>
      </c>
      <c r="E217" t="s">
        <v>102</v>
      </c>
      <c r="F217">
        <v>80896468</v>
      </c>
      <c r="G217" t="s">
        <v>152</v>
      </c>
      <c r="H217" t="s">
        <v>153</v>
      </c>
      <c r="I217">
        <v>9</v>
      </c>
    </row>
    <row r="218" spans="1:9" x14ac:dyDescent="0.25">
      <c r="A218" t="s">
        <v>243</v>
      </c>
      <c r="B218" t="s">
        <v>243</v>
      </c>
      <c r="C218" s="9">
        <v>46246</v>
      </c>
      <c r="E218" t="s">
        <v>102</v>
      </c>
      <c r="F218">
        <v>80896468</v>
      </c>
      <c r="G218" t="s">
        <v>152</v>
      </c>
      <c r="H218" t="s">
        <v>153</v>
      </c>
      <c r="I218">
        <v>3</v>
      </c>
    </row>
    <row r="219" spans="1:9" x14ac:dyDescent="0.25">
      <c r="A219" t="s">
        <v>242</v>
      </c>
      <c r="B219" t="s">
        <v>242</v>
      </c>
      <c r="C219" s="9">
        <v>46246</v>
      </c>
      <c r="E219" t="s">
        <v>102</v>
      </c>
      <c r="F219">
        <v>80896468</v>
      </c>
      <c r="G219" t="s">
        <v>152</v>
      </c>
      <c r="H219" t="s">
        <v>153</v>
      </c>
      <c r="I219">
        <v>30</v>
      </c>
    </row>
    <row r="220" spans="1:9" x14ac:dyDescent="0.25">
      <c r="A220" t="s">
        <v>245</v>
      </c>
      <c r="B220" t="s">
        <v>245</v>
      </c>
      <c r="C220" s="9">
        <v>46246</v>
      </c>
      <c r="E220" t="s">
        <v>102</v>
      </c>
      <c r="F220">
        <v>80896468</v>
      </c>
      <c r="G220" t="s">
        <v>152</v>
      </c>
      <c r="H220" t="s">
        <v>153</v>
      </c>
      <c r="I220">
        <v>3</v>
      </c>
    </row>
    <row r="221" spans="1:9" x14ac:dyDescent="0.25">
      <c r="A221" t="s">
        <v>242</v>
      </c>
      <c r="B221" t="s">
        <v>242</v>
      </c>
      <c r="C221" s="9">
        <v>46246</v>
      </c>
      <c r="E221" t="s">
        <v>102</v>
      </c>
      <c r="F221">
        <v>80753181</v>
      </c>
      <c r="G221" t="s">
        <v>270</v>
      </c>
      <c r="H221" t="s">
        <v>271</v>
      </c>
      <c r="I221">
        <v>3</v>
      </c>
    </row>
    <row r="222" spans="1:9" x14ac:dyDescent="0.25">
      <c r="A222" t="s">
        <v>243</v>
      </c>
      <c r="B222" t="s">
        <v>243</v>
      </c>
      <c r="C222" s="9">
        <v>46246</v>
      </c>
      <c r="E222" t="s">
        <v>102</v>
      </c>
      <c r="F222">
        <v>80869896</v>
      </c>
      <c r="G222" t="s">
        <v>154</v>
      </c>
      <c r="H222" t="s">
        <v>155</v>
      </c>
      <c r="I222">
        <v>6</v>
      </c>
    </row>
    <row r="223" spans="1:9" x14ac:dyDescent="0.25">
      <c r="A223" t="s">
        <v>247</v>
      </c>
      <c r="B223" t="s">
        <v>247</v>
      </c>
      <c r="C223" s="9">
        <v>46246</v>
      </c>
      <c r="E223" t="s">
        <v>102</v>
      </c>
      <c r="F223">
        <v>80869896</v>
      </c>
      <c r="G223" t="s">
        <v>154</v>
      </c>
      <c r="H223" t="s">
        <v>155</v>
      </c>
      <c r="I223">
        <v>3</v>
      </c>
    </row>
    <row r="224" spans="1:9" x14ac:dyDescent="0.25">
      <c r="A224" t="s">
        <v>246</v>
      </c>
      <c r="B224" t="s">
        <v>246</v>
      </c>
      <c r="C224" s="9">
        <v>46246</v>
      </c>
      <c r="E224" t="s">
        <v>102</v>
      </c>
      <c r="F224">
        <v>80869896</v>
      </c>
      <c r="G224" t="s">
        <v>154</v>
      </c>
      <c r="H224" t="s">
        <v>155</v>
      </c>
      <c r="I224">
        <v>3</v>
      </c>
    </row>
    <row r="225" spans="1:9" x14ac:dyDescent="0.25">
      <c r="A225" t="s">
        <v>241</v>
      </c>
      <c r="B225" t="s">
        <v>241</v>
      </c>
      <c r="C225" s="9">
        <v>46246</v>
      </c>
      <c r="E225" t="s">
        <v>102</v>
      </c>
      <c r="F225">
        <v>80869896</v>
      </c>
      <c r="G225" t="s">
        <v>154</v>
      </c>
      <c r="H225" t="s">
        <v>155</v>
      </c>
      <c r="I225">
        <v>60</v>
      </c>
    </row>
    <row r="226" spans="1:9" x14ac:dyDescent="0.25">
      <c r="A226" t="s">
        <v>245</v>
      </c>
      <c r="B226" t="s">
        <v>245</v>
      </c>
      <c r="C226" s="9">
        <v>46246</v>
      </c>
      <c r="E226" t="s">
        <v>102</v>
      </c>
      <c r="F226">
        <v>80869896</v>
      </c>
      <c r="G226" t="s">
        <v>154</v>
      </c>
      <c r="H226" t="s">
        <v>155</v>
      </c>
      <c r="I226">
        <v>12</v>
      </c>
    </row>
    <row r="227" spans="1:9" x14ac:dyDescent="0.25">
      <c r="A227" t="s">
        <v>242</v>
      </c>
      <c r="B227" t="s">
        <v>242</v>
      </c>
      <c r="C227" s="9">
        <v>46246</v>
      </c>
      <c r="E227" t="s">
        <v>102</v>
      </c>
      <c r="F227">
        <v>80869896</v>
      </c>
      <c r="G227" t="s">
        <v>154</v>
      </c>
      <c r="H227" t="s">
        <v>155</v>
      </c>
      <c r="I227">
        <v>246</v>
      </c>
    </row>
    <row r="228" spans="1:9" x14ac:dyDescent="0.25">
      <c r="A228" t="s">
        <v>244</v>
      </c>
      <c r="B228" t="s">
        <v>244</v>
      </c>
      <c r="C228" s="9">
        <v>46246</v>
      </c>
      <c r="E228" t="s">
        <v>102</v>
      </c>
      <c r="F228">
        <v>80869896</v>
      </c>
      <c r="G228" t="s">
        <v>154</v>
      </c>
      <c r="H228" t="s">
        <v>155</v>
      </c>
      <c r="I228">
        <v>15</v>
      </c>
    </row>
    <row r="229" spans="1:9" x14ac:dyDescent="0.25">
      <c r="A229" t="s">
        <v>242</v>
      </c>
      <c r="B229" t="s">
        <v>242</v>
      </c>
      <c r="C229" s="9">
        <v>46246</v>
      </c>
      <c r="E229" t="s">
        <v>102</v>
      </c>
      <c r="F229">
        <v>83925440</v>
      </c>
      <c r="G229" t="s">
        <v>156</v>
      </c>
      <c r="H229" t="s">
        <v>158</v>
      </c>
      <c r="I229">
        <v>88</v>
      </c>
    </row>
    <row r="230" spans="1:9" x14ac:dyDescent="0.25">
      <c r="A230" t="s">
        <v>244</v>
      </c>
      <c r="B230" t="s">
        <v>244</v>
      </c>
      <c r="C230" s="9">
        <v>46246</v>
      </c>
      <c r="E230" t="s">
        <v>102</v>
      </c>
      <c r="F230">
        <v>83925440</v>
      </c>
      <c r="G230" t="s">
        <v>156</v>
      </c>
      <c r="H230" t="s">
        <v>158</v>
      </c>
      <c r="I230">
        <v>28</v>
      </c>
    </row>
    <row r="231" spans="1:9" x14ac:dyDescent="0.25">
      <c r="A231" t="s">
        <v>243</v>
      </c>
      <c r="B231" t="s">
        <v>243</v>
      </c>
      <c r="C231" s="9">
        <v>46246</v>
      </c>
      <c r="E231" t="s">
        <v>102</v>
      </c>
      <c r="F231">
        <v>83925440</v>
      </c>
      <c r="G231" t="s">
        <v>156</v>
      </c>
      <c r="H231" t="s">
        <v>158</v>
      </c>
      <c r="I231">
        <v>8</v>
      </c>
    </row>
    <row r="232" spans="1:9" x14ac:dyDescent="0.25">
      <c r="A232" t="s">
        <v>247</v>
      </c>
      <c r="B232" t="s">
        <v>247</v>
      </c>
      <c r="C232" s="9">
        <v>46246</v>
      </c>
      <c r="E232" t="s">
        <v>102</v>
      </c>
      <c r="F232">
        <v>83925440</v>
      </c>
      <c r="G232" t="s">
        <v>156</v>
      </c>
      <c r="H232" t="s">
        <v>158</v>
      </c>
      <c r="I232">
        <v>8</v>
      </c>
    </row>
    <row r="233" spans="1:9" x14ac:dyDescent="0.25">
      <c r="A233" t="s">
        <v>246</v>
      </c>
      <c r="B233" t="s">
        <v>246</v>
      </c>
      <c r="C233" s="9">
        <v>46246</v>
      </c>
      <c r="E233" t="s">
        <v>102</v>
      </c>
      <c r="F233">
        <v>83925440</v>
      </c>
      <c r="G233" t="s">
        <v>156</v>
      </c>
      <c r="H233" t="s">
        <v>158</v>
      </c>
      <c r="I233">
        <v>12</v>
      </c>
    </row>
    <row r="234" spans="1:9" x14ac:dyDescent="0.25">
      <c r="A234" t="s">
        <v>245</v>
      </c>
      <c r="B234" t="s">
        <v>245</v>
      </c>
      <c r="C234" s="9">
        <v>46246</v>
      </c>
      <c r="E234" t="s">
        <v>102</v>
      </c>
      <c r="F234">
        <v>83925440</v>
      </c>
      <c r="G234" t="s">
        <v>156</v>
      </c>
      <c r="H234" t="s">
        <v>158</v>
      </c>
      <c r="I234">
        <v>8</v>
      </c>
    </row>
    <row r="235" spans="1:9" x14ac:dyDescent="0.25">
      <c r="A235" t="s">
        <v>242</v>
      </c>
      <c r="B235" t="s">
        <v>242</v>
      </c>
      <c r="C235" s="9">
        <v>46246</v>
      </c>
      <c r="E235" t="s">
        <v>102</v>
      </c>
      <c r="F235">
        <v>83911635</v>
      </c>
      <c r="G235" t="s">
        <v>159</v>
      </c>
      <c r="H235" t="s">
        <v>160</v>
      </c>
      <c r="I235">
        <v>1424</v>
      </c>
    </row>
    <row r="236" spans="1:9" x14ac:dyDescent="0.25">
      <c r="A236" t="s">
        <v>246</v>
      </c>
      <c r="B236" t="s">
        <v>246</v>
      </c>
      <c r="C236" s="9">
        <v>46246</v>
      </c>
      <c r="E236" t="s">
        <v>102</v>
      </c>
      <c r="F236">
        <v>83911635</v>
      </c>
      <c r="G236" t="s">
        <v>159</v>
      </c>
      <c r="H236" t="s">
        <v>160</v>
      </c>
      <c r="I236">
        <v>16</v>
      </c>
    </row>
    <row r="237" spans="1:9" x14ac:dyDescent="0.25">
      <c r="A237" t="s">
        <v>245</v>
      </c>
      <c r="B237" t="s">
        <v>245</v>
      </c>
      <c r="C237" s="9">
        <v>46246</v>
      </c>
      <c r="E237" t="s">
        <v>102</v>
      </c>
      <c r="F237">
        <v>83911635</v>
      </c>
      <c r="G237" t="s">
        <v>159</v>
      </c>
      <c r="H237" t="s">
        <v>160</v>
      </c>
      <c r="I237">
        <v>44</v>
      </c>
    </row>
    <row r="238" spans="1:9" x14ac:dyDescent="0.25">
      <c r="A238" t="s">
        <v>247</v>
      </c>
      <c r="B238" t="s">
        <v>247</v>
      </c>
      <c r="C238" s="9">
        <v>46246</v>
      </c>
      <c r="E238" t="s">
        <v>102</v>
      </c>
      <c r="F238">
        <v>83911635</v>
      </c>
      <c r="G238" t="s">
        <v>159</v>
      </c>
      <c r="H238" t="s">
        <v>160</v>
      </c>
      <c r="I238">
        <v>52</v>
      </c>
    </row>
    <row r="239" spans="1:9" x14ac:dyDescent="0.25">
      <c r="A239" t="s">
        <v>241</v>
      </c>
      <c r="B239" t="s">
        <v>241</v>
      </c>
      <c r="C239" s="9">
        <v>46246</v>
      </c>
      <c r="E239" t="s">
        <v>102</v>
      </c>
      <c r="F239">
        <v>83911635</v>
      </c>
      <c r="G239" t="s">
        <v>159</v>
      </c>
      <c r="H239" t="s">
        <v>160</v>
      </c>
      <c r="I239">
        <v>80</v>
      </c>
    </row>
    <row r="240" spans="1:9" x14ac:dyDescent="0.25">
      <c r="A240" t="s">
        <v>243</v>
      </c>
      <c r="B240" t="s">
        <v>243</v>
      </c>
      <c r="C240" s="9">
        <v>46246</v>
      </c>
      <c r="E240" t="s">
        <v>102</v>
      </c>
      <c r="F240">
        <v>83911635</v>
      </c>
      <c r="G240" t="s">
        <v>159</v>
      </c>
      <c r="H240" t="s">
        <v>160</v>
      </c>
      <c r="I240">
        <v>48</v>
      </c>
    </row>
    <row r="241" spans="1:9" x14ac:dyDescent="0.25">
      <c r="A241" t="s">
        <v>244</v>
      </c>
      <c r="B241" t="s">
        <v>244</v>
      </c>
      <c r="C241" s="9">
        <v>46246</v>
      </c>
      <c r="E241" t="s">
        <v>102</v>
      </c>
      <c r="F241">
        <v>83911635</v>
      </c>
      <c r="G241" t="s">
        <v>159</v>
      </c>
      <c r="H241" t="s">
        <v>160</v>
      </c>
      <c r="I241">
        <v>212</v>
      </c>
    </row>
    <row r="242" spans="1:9" x14ac:dyDescent="0.25">
      <c r="A242" t="s">
        <v>246</v>
      </c>
      <c r="B242" t="s">
        <v>246</v>
      </c>
      <c r="C242" s="9">
        <v>46246</v>
      </c>
      <c r="E242" t="s">
        <v>102</v>
      </c>
      <c r="F242">
        <v>83911783</v>
      </c>
      <c r="G242" t="s">
        <v>161</v>
      </c>
      <c r="H242" t="s">
        <v>162</v>
      </c>
      <c r="I242">
        <v>4</v>
      </c>
    </row>
    <row r="243" spans="1:9" x14ac:dyDescent="0.25">
      <c r="A243" t="s">
        <v>242</v>
      </c>
      <c r="B243" t="s">
        <v>242</v>
      </c>
      <c r="C243" s="9">
        <v>46246</v>
      </c>
      <c r="E243" t="s">
        <v>102</v>
      </c>
      <c r="F243">
        <v>83911783</v>
      </c>
      <c r="G243" t="s">
        <v>161</v>
      </c>
      <c r="H243" t="s">
        <v>162</v>
      </c>
      <c r="I243">
        <v>112</v>
      </c>
    </row>
    <row r="244" spans="1:9" x14ac:dyDescent="0.25">
      <c r="A244" t="s">
        <v>247</v>
      </c>
      <c r="B244" t="s">
        <v>247</v>
      </c>
      <c r="C244" s="9">
        <v>46246</v>
      </c>
      <c r="E244" t="s">
        <v>102</v>
      </c>
      <c r="F244">
        <v>83911783</v>
      </c>
      <c r="G244" t="s">
        <v>161</v>
      </c>
      <c r="H244" t="s">
        <v>162</v>
      </c>
      <c r="I244">
        <v>4</v>
      </c>
    </row>
    <row r="245" spans="1:9" x14ac:dyDescent="0.25">
      <c r="A245" t="s">
        <v>244</v>
      </c>
      <c r="B245" t="s">
        <v>244</v>
      </c>
      <c r="C245" s="9">
        <v>46246</v>
      </c>
      <c r="E245" t="s">
        <v>102</v>
      </c>
      <c r="F245">
        <v>83911783</v>
      </c>
      <c r="G245" t="s">
        <v>161</v>
      </c>
      <c r="H245" t="s">
        <v>162</v>
      </c>
      <c r="I245">
        <v>16</v>
      </c>
    </row>
    <row r="246" spans="1:9" x14ac:dyDescent="0.25">
      <c r="A246" t="s">
        <v>243</v>
      </c>
      <c r="B246" t="s">
        <v>243</v>
      </c>
      <c r="C246" s="9">
        <v>46246</v>
      </c>
      <c r="E246" t="s">
        <v>102</v>
      </c>
      <c r="F246">
        <v>83911783</v>
      </c>
      <c r="G246" t="s">
        <v>161</v>
      </c>
      <c r="H246" t="s">
        <v>162</v>
      </c>
      <c r="I246">
        <v>4</v>
      </c>
    </row>
    <row r="247" spans="1:9" x14ac:dyDescent="0.25">
      <c r="A247" t="s">
        <v>241</v>
      </c>
      <c r="B247" t="s">
        <v>241</v>
      </c>
      <c r="C247" s="9">
        <v>46246</v>
      </c>
      <c r="E247" t="s">
        <v>102</v>
      </c>
      <c r="F247">
        <v>83911783</v>
      </c>
      <c r="G247" t="s">
        <v>161</v>
      </c>
      <c r="H247" t="s">
        <v>162</v>
      </c>
      <c r="I247">
        <v>40</v>
      </c>
    </row>
    <row r="248" spans="1:9" x14ac:dyDescent="0.25">
      <c r="A248" t="s">
        <v>242</v>
      </c>
      <c r="B248" t="s">
        <v>242</v>
      </c>
      <c r="C248" s="9">
        <v>46246</v>
      </c>
      <c r="E248" t="s">
        <v>102</v>
      </c>
      <c r="F248">
        <v>80870015</v>
      </c>
      <c r="G248" t="s">
        <v>272</v>
      </c>
      <c r="H248" t="s">
        <v>273</v>
      </c>
      <c r="I248">
        <v>1</v>
      </c>
    </row>
    <row r="249" spans="1:9" x14ac:dyDescent="0.25">
      <c r="A249" t="s">
        <v>244</v>
      </c>
      <c r="B249" t="s">
        <v>244</v>
      </c>
      <c r="C249" s="9">
        <v>46246</v>
      </c>
      <c r="E249" t="s">
        <v>102</v>
      </c>
      <c r="F249">
        <v>80870015</v>
      </c>
      <c r="G249" t="s">
        <v>272</v>
      </c>
      <c r="H249" t="s">
        <v>273</v>
      </c>
      <c r="I249">
        <v>1</v>
      </c>
    </row>
    <row r="250" spans="1:9" x14ac:dyDescent="0.25">
      <c r="A250" t="s">
        <v>241</v>
      </c>
      <c r="B250" t="s">
        <v>241</v>
      </c>
      <c r="C250" s="9">
        <v>46246</v>
      </c>
      <c r="E250" t="s">
        <v>102</v>
      </c>
      <c r="F250">
        <v>80870015</v>
      </c>
      <c r="G250" t="s">
        <v>272</v>
      </c>
      <c r="H250" t="s">
        <v>273</v>
      </c>
      <c r="I250">
        <v>1</v>
      </c>
    </row>
    <row r="251" spans="1:9" x14ac:dyDescent="0.25">
      <c r="A251" t="s">
        <v>244</v>
      </c>
      <c r="B251" t="s">
        <v>244</v>
      </c>
      <c r="C251" s="9">
        <v>46246</v>
      </c>
      <c r="E251" t="s">
        <v>102</v>
      </c>
      <c r="F251">
        <v>80870358</v>
      </c>
      <c r="G251" t="s">
        <v>163</v>
      </c>
      <c r="H251" t="s">
        <v>164</v>
      </c>
      <c r="I251">
        <v>8</v>
      </c>
    </row>
    <row r="252" spans="1:9" x14ac:dyDescent="0.25">
      <c r="A252" t="s">
        <v>243</v>
      </c>
      <c r="B252" t="s">
        <v>243</v>
      </c>
      <c r="C252" s="9">
        <v>46246</v>
      </c>
      <c r="E252" t="s">
        <v>102</v>
      </c>
      <c r="F252">
        <v>80870358</v>
      </c>
      <c r="G252" t="s">
        <v>163</v>
      </c>
      <c r="H252" t="s">
        <v>164</v>
      </c>
      <c r="I252">
        <v>2</v>
      </c>
    </row>
    <row r="253" spans="1:9" x14ac:dyDescent="0.25">
      <c r="A253" t="s">
        <v>247</v>
      </c>
      <c r="B253" t="s">
        <v>247</v>
      </c>
      <c r="C253" s="9">
        <v>46246</v>
      </c>
      <c r="E253" t="s">
        <v>102</v>
      </c>
      <c r="F253">
        <v>80870358</v>
      </c>
      <c r="G253" t="s">
        <v>163</v>
      </c>
      <c r="H253" t="s">
        <v>164</v>
      </c>
      <c r="I253">
        <v>2</v>
      </c>
    </row>
    <row r="254" spans="1:9" x14ac:dyDescent="0.25">
      <c r="A254" t="s">
        <v>245</v>
      </c>
      <c r="B254" t="s">
        <v>245</v>
      </c>
      <c r="C254" s="9">
        <v>46246</v>
      </c>
      <c r="E254" t="s">
        <v>102</v>
      </c>
      <c r="F254">
        <v>80870358</v>
      </c>
      <c r="G254" t="s">
        <v>163</v>
      </c>
      <c r="H254" t="s">
        <v>164</v>
      </c>
      <c r="I254">
        <v>4</v>
      </c>
    </row>
    <row r="255" spans="1:9" x14ac:dyDescent="0.25">
      <c r="A255" t="s">
        <v>246</v>
      </c>
      <c r="B255" t="s">
        <v>246</v>
      </c>
      <c r="C255" s="9">
        <v>46246</v>
      </c>
      <c r="E255" t="s">
        <v>102</v>
      </c>
      <c r="F255">
        <v>80870358</v>
      </c>
      <c r="G255" t="s">
        <v>163</v>
      </c>
      <c r="H255" t="s">
        <v>164</v>
      </c>
      <c r="I255">
        <v>4</v>
      </c>
    </row>
    <row r="256" spans="1:9" x14ac:dyDescent="0.25">
      <c r="A256" t="s">
        <v>241</v>
      </c>
      <c r="B256" t="s">
        <v>241</v>
      </c>
      <c r="C256" s="9">
        <v>46246</v>
      </c>
      <c r="E256" t="s">
        <v>102</v>
      </c>
      <c r="F256">
        <v>80870358</v>
      </c>
      <c r="G256" t="s">
        <v>163</v>
      </c>
      <c r="H256" t="s">
        <v>164</v>
      </c>
      <c r="I256">
        <v>11</v>
      </c>
    </row>
    <row r="257" spans="1:9" x14ac:dyDescent="0.25">
      <c r="A257" t="s">
        <v>242</v>
      </c>
      <c r="B257" t="s">
        <v>242</v>
      </c>
      <c r="C257" s="9">
        <v>46246</v>
      </c>
      <c r="E257" t="s">
        <v>102</v>
      </c>
      <c r="F257">
        <v>80870358</v>
      </c>
      <c r="G257" t="s">
        <v>163</v>
      </c>
      <c r="H257" t="s">
        <v>164</v>
      </c>
      <c r="I257">
        <v>36</v>
      </c>
    </row>
    <row r="258" spans="1:9" x14ac:dyDescent="0.25">
      <c r="A258" t="s">
        <v>247</v>
      </c>
      <c r="B258" t="s">
        <v>247</v>
      </c>
      <c r="C258" s="9">
        <v>46246</v>
      </c>
      <c r="E258" t="s">
        <v>102</v>
      </c>
      <c r="F258">
        <v>80870357</v>
      </c>
      <c r="G258" t="s">
        <v>165</v>
      </c>
      <c r="H258" t="s">
        <v>166</v>
      </c>
      <c r="I258">
        <v>9</v>
      </c>
    </row>
    <row r="259" spans="1:9" x14ac:dyDescent="0.25">
      <c r="A259" t="s">
        <v>242</v>
      </c>
      <c r="B259" t="s">
        <v>242</v>
      </c>
      <c r="C259" s="9">
        <v>46246</v>
      </c>
      <c r="E259" t="s">
        <v>102</v>
      </c>
      <c r="F259">
        <v>80870357</v>
      </c>
      <c r="G259" t="s">
        <v>165</v>
      </c>
      <c r="H259" t="s">
        <v>166</v>
      </c>
      <c r="I259">
        <v>101</v>
      </c>
    </row>
    <row r="260" spans="1:9" x14ac:dyDescent="0.25">
      <c r="A260" t="s">
        <v>244</v>
      </c>
      <c r="B260" t="s">
        <v>244</v>
      </c>
      <c r="C260" s="9">
        <v>46246</v>
      </c>
      <c r="E260" t="s">
        <v>102</v>
      </c>
      <c r="F260">
        <v>80870357</v>
      </c>
      <c r="G260" t="s">
        <v>165</v>
      </c>
      <c r="H260" t="s">
        <v>166</v>
      </c>
      <c r="I260">
        <v>13</v>
      </c>
    </row>
    <row r="261" spans="1:9" x14ac:dyDescent="0.25">
      <c r="A261" t="s">
        <v>243</v>
      </c>
      <c r="B261" t="s">
        <v>243</v>
      </c>
      <c r="C261" s="9">
        <v>46246</v>
      </c>
      <c r="E261" t="s">
        <v>102</v>
      </c>
      <c r="F261">
        <v>80870357</v>
      </c>
      <c r="G261" t="s">
        <v>165</v>
      </c>
      <c r="H261" t="s">
        <v>166</v>
      </c>
      <c r="I261">
        <v>7</v>
      </c>
    </row>
    <row r="262" spans="1:9" x14ac:dyDescent="0.25">
      <c r="A262" t="s">
        <v>241</v>
      </c>
      <c r="B262" t="s">
        <v>241</v>
      </c>
      <c r="C262" s="9">
        <v>46246</v>
      </c>
      <c r="E262" t="s">
        <v>102</v>
      </c>
      <c r="F262">
        <v>80870357</v>
      </c>
      <c r="G262" t="s">
        <v>165</v>
      </c>
      <c r="H262" t="s">
        <v>166</v>
      </c>
      <c r="I262">
        <v>13</v>
      </c>
    </row>
    <row r="263" spans="1:9" x14ac:dyDescent="0.25">
      <c r="A263" t="s">
        <v>246</v>
      </c>
      <c r="B263" t="s">
        <v>246</v>
      </c>
      <c r="C263" s="9">
        <v>46246</v>
      </c>
      <c r="E263" t="s">
        <v>102</v>
      </c>
      <c r="F263">
        <v>80870357</v>
      </c>
      <c r="G263" t="s">
        <v>165</v>
      </c>
      <c r="H263" t="s">
        <v>166</v>
      </c>
      <c r="I263">
        <v>1</v>
      </c>
    </row>
    <row r="264" spans="1:9" x14ac:dyDescent="0.25">
      <c r="A264" t="s">
        <v>245</v>
      </c>
      <c r="B264" t="s">
        <v>245</v>
      </c>
      <c r="C264" s="9">
        <v>46246</v>
      </c>
      <c r="E264" t="s">
        <v>102</v>
      </c>
      <c r="F264">
        <v>80870357</v>
      </c>
      <c r="G264" t="s">
        <v>165</v>
      </c>
      <c r="H264" t="s">
        <v>166</v>
      </c>
      <c r="I264">
        <v>6</v>
      </c>
    </row>
    <row r="265" spans="1:9" x14ac:dyDescent="0.25">
      <c r="A265" t="s">
        <v>245</v>
      </c>
      <c r="B265" t="s">
        <v>245</v>
      </c>
      <c r="C265" s="9">
        <v>46246</v>
      </c>
      <c r="E265" t="s">
        <v>102</v>
      </c>
      <c r="F265">
        <v>80887674</v>
      </c>
      <c r="G265" t="s">
        <v>169</v>
      </c>
      <c r="H265" t="s">
        <v>170</v>
      </c>
      <c r="I265">
        <v>2</v>
      </c>
    </row>
    <row r="266" spans="1:9" x14ac:dyDescent="0.25">
      <c r="A266" t="s">
        <v>244</v>
      </c>
      <c r="B266" t="s">
        <v>244</v>
      </c>
      <c r="C266" s="9">
        <v>46246</v>
      </c>
      <c r="E266" t="s">
        <v>102</v>
      </c>
      <c r="F266">
        <v>80887674</v>
      </c>
      <c r="G266" t="s">
        <v>169</v>
      </c>
      <c r="H266" t="s">
        <v>170</v>
      </c>
      <c r="I266">
        <v>2</v>
      </c>
    </row>
    <row r="267" spans="1:9" x14ac:dyDescent="0.25">
      <c r="A267" t="s">
        <v>241</v>
      </c>
      <c r="B267" t="s">
        <v>241</v>
      </c>
      <c r="C267" s="9">
        <v>46246</v>
      </c>
      <c r="E267" t="s">
        <v>102</v>
      </c>
      <c r="F267">
        <v>80887674</v>
      </c>
      <c r="G267" t="s">
        <v>169</v>
      </c>
      <c r="H267" t="s">
        <v>170</v>
      </c>
      <c r="I267">
        <v>4</v>
      </c>
    </row>
    <row r="268" spans="1:9" x14ac:dyDescent="0.25">
      <c r="A268" t="s">
        <v>242</v>
      </c>
      <c r="B268" t="s">
        <v>242</v>
      </c>
      <c r="C268" s="9">
        <v>46246</v>
      </c>
      <c r="E268" t="s">
        <v>102</v>
      </c>
      <c r="F268">
        <v>80887674</v>
      </c>
      <c r="G268" t="s">
        <v>169</v>
      </c>
      <c r="H268" t="s">
        <v>170</v>
      </c>
      <c r="I268">
        <v>12</v>
      </c>
    </row>
    <row r="269" spans="1:9" x14ac:dyDescent="0.25">
      <c r="A269" t="s">
        <v>246</v>
      </c>
      <c r="B269" t="s">
        <v>246</v>
      </c>
      <c r="C269" s="9">
        <v>46246</v>
      </c>
      <c r="E269" t="s">
        <v>102</v>
      </c>
      <c r="F269">
        <v>80887674</v>
      </c>
      <c r="G269" t="s">
        <v>169</v>
      </c>
      <c r="H269" t="s">
        <v>170</v>
      </c>
      <c r="I269">
        <v>2</v>
      </c>
    </row>
    <row r="270" spans="1:9" x14ac:dyDescent="0.25">
      <c r="A270" t="s">
        <v>242</v>
      </c>
      <c r="B270" t="s">
        <v>242</v>
      </c>
      <c r="C270" s="9">
        <v>46246</v>
      </c>
      <c r="E270" t="s">
        <v>102</v>
      </c>
      <c r="F270">
        <v>80869511</v>
      </c>
      <c r="G270" t="s">
        <v>171</v>
      </c>
      <c r="H270" t="s">
        <v>172</v>
      </c>
      <c r="I270">
        <v>8</v>
      </c>
    </row>
    <row r="271" spans="1:9" x14ac:dyDescent="0.25">
      <c r="A271" t="s">
        <v>246</v>
      </c>
      <c r="B271" t="s">
        <v>246</v>
      </c>
      <c r="C271" s="9">
        <v>46246</v>
      </c>
      <c r="E271" t="s">
        <v>102</v>
      </c>
      <c r="F271">
        <v>80893410</v>
      </c>
      <c r="G271" t="s">
        <v>173</v>
      </c>
      <c r="H271" t="s">
        <v>174</v>
      </c>
      <c r="I271">
        <v>6</v>
      </c>
    </row>
    <row r="272" spans="1:9" x14ac:dyDescent="0.25">
      <c r="A272" t="s">
        <v>244</v>
      </c>
      <c r="B272" t="s">
        <v>244</v>
      </c>
      <c r="C272" s="9">
        <v>46246</v>
      </c>
      <c r="E272" t="s">
        <v>102</v>
      </c>
      <c r="F272">
        <v>80893410</v>
      </c>
      <c r="G272" t="s">
        <v>173</v>
      </c>
      <c r="H272" t="s">
        <v>174</v>
      </c>
      <c r="I272">
        <v>6</v>
      </c>
    </row>
    <row r="273" spans="1:9" x14ac:dyDescent="0.25">
      <c r="A273" t="s">
        <v>242</v>
      </c>
      <c r="B273" t="s">
        <v>242</v>
      </c>
      <c r="C273" s="9">
        <v>46246</v>
      </c>
      <c r="E273" t="s">
        <v>102</v>
      </c>
      <c r="F273">
        <v>80893410</v>
      </c>
      <c r="G273" t="s">
        <v>173</v>
      </c>
      <c r="H273" t="s">
        <v>174</v>
      </c>
      <c r="I273">
        <v>39</v>
      </c>
    </row>
    <row r="274" spans="1:9" x14ac:dyDescent="0.25">
      <c r="A274" t="s">
        <v>243</v>
      </c>
      <c r="B274" t="s">
        <v>243</v>
      </c>
      <c r="C274" s="9">
        <v>46246</v>
      </c>
      <c r="E274" t="s">
        <v>102</v>
      </c>
      <c r="F274">
        <v>80893410</v>
      </c>
      <c r="G274" t="s">
        <v>173</v>
      </c>
      <c r="H274" t="s">
        <v>174</v>
      </c>
      <c r="I274">
        <v>6</v>
      </c>
    </row>
    <row r="275" spans="1:9" x14ac:dyDescent="0.25">
      <c r="A275" t="s">
        <v>241</v>
      </c>
      <c r="B275" t="s">
        <v>241</v>
      </c>
      <c r="C275" s="9">
        <v>46246</v>
      </c>
      <c r="E275" t="s">
        <v>102</v>
      </c>
      <c r="F275">
        <v>80893410</v>
      </c>
      <c r="G275" t="s">
        <v>173</v>
      </c>
      <c r="H275" t="s">
        <v>174</v>
      </c>
      <c r="I275">
        <v>24</v>
      </c>
    </row>
    <row r="276" spans="1:9" x14ac:dyDescent="0.25">
      <c r="A276" t="s">
        <v>244</v>
      </c>
      <c r="B276" t="s">
        <v>244</v>
      </c>
      <c r="C276" s="9">
        <v>46246</v>
      </c>
      <c r="E276" t="s">
        <v>102</v>
      </c>
      <c r="F276">
        <v>83916746</v>
      </c>
      <c r="G276" t="s">
        <v>175</v>
      </c>
      <c r="H276" t="s">
        <v>176</v>
      </c>
      <c r="I276">
        <v>15</v>
      </c>
    </row>
    <row r="277" spans="1:9" x14ac:dyDescent="0.25">
      <c r="A277" t="s">
        <v>242</v>
      </c>
      <c r="B277" t="s">
        <v>242</v>
      </c>
      <c r="C277" s="9">
        <v>46246</v>
      </c>
      <c r="E277" t="s">
        <v>102</v>
      </c>
      <c r="F277">
        <v>83916746</v>
      </c>
      <c r="G277" t="s">
        <v>175</v>
      </c>
      <c r="H277" t="s">
        <v>176</v>
      </c>
      <c r="I277">
        <v>27</v>
      </c>
    </row>
    <row r="278" spans="1:9" x14ac:dyDescent="0.25">
      <c r="A278" t="s">
        <v>244</v>
      </c>
      <c r="B278" t="s">
        <v>244</v>
      </c>
      <c r="C278" s="9">
        <v>46246</v>
      </c>
      <c r="E278" t="s">
        <v>102</v>
      </c>
      <c r="F278">
        <v>83914233</v>
      </c>
      <c r="G278" t="s">
        <v>274</v>
      </c>
      <c r="H278" t="s">
        <v>275</v>
      </c>
      <c r="I278">
        <v>3</v>
      </c>
    </row>
    <row r="279" spans="1:9" x14ac:dyDescent="0.25">
      <c r="A279" t="s">
        <v>242</v>
      </c>
      <c r="B279" t="s">
        <v>242</v>
      </c>
      <c r="C279" s="9">
        <v>46246</v>
      </c>
      <c r="E279" t="s">
        <v>102</v>
      </c>
      <c r="F279">
        <v>83914233</v>
      </c>
      <c r="G279" t="s">
        <v>274</v>
      </c>
      <c r="H279" t="s">
        <v>275</v>
      </c>
      <c r="I279">
        <v>15</v>
      </c>
    </row>
    <row r="280" spans="1:9" x14ac:dyDescent="0.25">
      <c r="A280" t="s">
        <v>242</v>
      </c>
      <c r="B280" t="s">
        <v>242</v>
      </c>
      <c r="C280" s="9">
        <v>46246</v>
      </c>
      <c r="E280" t="s">
        <v>102</v>
      </c>
      <c r="F280">
        <v>80862572</v>
      </c>
      <c r="G280" t="s">
        <v>177</v>
      </c>
      <c r="H280" t="s">
        <v>178</v>
      </c>
      <c r="I280">
        <v>2</v>
      </c>
    </row>
    <row r="281" spans="1:9" x14ac:dyDescent="0.25">
      <c r="A281" t="s">
        <v>244</v>
      </c>
      <c r="B281" t="s">
        <v>244</v>
      </c>
      <c r="C281" s="9">
        <v>46246</v>
      </c>
      <c r="E281" t="s">
        <v>102</v>
      </c>
      <c r="F281">
        <v>80885888</v>
      </c>
      <c r="G281" t="s">
        <v>276</v>
      </c>
      <c r="H281" t="s">
        <v>277</v>
      </c>
      <c r="I281">
        <v>9</v>
      </c>
    </row>
    <row r="282" spans="1:9" x14ac:dyDescent="0.25">
      <c r="A282" t="s">
        <v>242</v>
      </c>
      <c r="B282" t="s">
        <v>242</v>
      </c>
      <c r="C282" s="9">
        <v>46246</v>
      </c>
      <c r="E282" t="s">
        <v>102</v>
      </c>
      <c r="F282">
        <v>80870946</v>
      </c>
      <c r="G282" t="s">
        <v>278</v>
      </c>
      <c r="H282" t="s">
        <v>279</v>
      </c>
      <c r="I282">
        <v>1</v>
      </c>
    </row>
    <row r="283" spans="1:9" x14ac:dyDescent="0.25">
      <c r="A283" t="s">
        <v>241</v>
      </c>
      <c r="B283" t="s">
        <v>241</v>
      </c>
      <c r="C283" s="9">
        <v>46246</v>
      </c>
      <c r="E283" t="s">
        <v>102</v>
      </c>
      <c r="F283">
        <v>80895630</v>
      </c>
      <c r="G283" t="s">
        <v>280</v>
      </c>
      <c r="H283" t="s">
        <v>281</v>
      </c>
      <c r="I283">
        <v>3</v>
      </c>
    </row>
    <row r="284" spans="1:9" x14ac:dyDescent="0.25">
      <c r="A284" t="s">
        <v>242</v>
      </c>
      <c r="B284" t="s">
        <v>242</v>
      </c>
      <c r="C284" s="9">
        <v>46246</v>
      </c>
      <c r="E284" t="s">
        <v>102</v>
      </c>
      <c r="F284">
        <v>80895630</v>
      </c>
      <c r="G284" t="s">
        <v>280</v>
      </c>
      <c r="H284" t="s">
        <v>281</v>
      </c>
      <c r="I284">
        <v>3</v>
      </c>
    </row>
    <row r="285" spans="1:9" x14ac:dyDescent="0.25">
      <c r="A285" t="s">
        <v>244</v>
      </c>
      <c r="B285" t="s">
        <v>244</v>
      </c>
      <c r="C285" s="9">
        <v>46246</v>
      </c>
      <c r="E285" t="s">
        <v>102</v>
      </c>
      <c r="F285">
        <v>83916219</v>
      </c>
      <c r="G285" t="s">
        <v>179</v>
      </c>
      <c r="H285" t="s">
        <v>180</v>
      </c>
      <c r="I285">
        <v>4</v>
      </c>
    </row>
    <row r="286" spans="1:9" x14ac:dyDescent="0.25">
      <c r="A286" t="s">
        <v>241</v>
      </c>
      <c r="B286" t="s">
        <v>241</v>
      </c>
      <c r="C286" s="9">
        <v>46246</v>
      </c>
      <c r="E286" t="s">
        <v>102</v>
      </c>
      <c r="F286">
        <v>83916219</v>
      </c>
      <c r="G286" t="s">
        <v>179</v>
      </c>
      <c r="H286" t="s">
        <v>180</v>
      </c>
      <c r="I286">
        <v>2</v>
      </c>
    </row>
    <row r="287" spans="1:9" x14ac:dyDescent="0.25">
      <c r="A287" t="s">
        <v>241</v>
      </c>
      <c r="B287" t="s">
        <v>241</v>
      </c>
      <c r="C287" s="9">
        <v>46246</v>
      </c>
      <c r="E287" t="s">
        <v>102</v>
      </c>
      <c r="F287">
        <v>80830420</v>
      </c>
      <c r="G287" t="s">
        <v>282</v>
      </c>
      <c r="H287" t="s">
        <v>283</v>
      </c>
      <c r="I287">
        <v>1</v>
      </c>
    </row>
    <row r="288" spans="1:9" x14ac:dyDescent="0.25">
      <c r="A288" t="s">
        <v>244</v>
      </c>
      <c r="B288" t="s">
        <v>244</v>
      </c>
      <c r="C288" s="9">
        <v>46246</v>
      </c>
      <c r="E288" t="s">
        <v>102</v>
      </c>
      <c r="F288">
        <v>80830411</v>
      </c>
      <c r="G288" t="s">
        <v>181</v>
      </c>
      <c r="H288" t="s">
        <v>182</v>
      </c>
      <c r="I288">
        <v>3</v>
      </c>
    </row>
    <row r="289" spans="1:9" x14ac:dyDescent="0.25">
      <c r="A289" t="s">
        <v>246</v>
      </c>
      <c r="B289" t="s">
        <v>246</v>
      </c>
      <c r="C289" s="9">
        <v>46246</v>
      </c>
      <c r="E289" t="s">
        <v>102</v>
      </c>
      <c r="F289">
        <v>80830411</v>
      </c>
      <c r="G289" t="s">
        <v>181</v>
      </c>
      <c r="H289" t="s">
        <v>182</v>
      </c>
      <c r="I289">
        <v>1</v>
      </c>
    </row>
    <row r="290" spans="1:9" x14ac:dyDescent="0.25">
      <c r="A290" t="s">
        <v>241</v>
      </c>
      <c r="B290" t="s">
        <v>241</v>
      </c>
      <c r="C290" s="9">
        <v>46246</v>
      </c>
      <c r="E290" t="s">
        <v>102</v>
      </c>
      <c r="F290">
        <v>80830411</v>
      </c>
      <c r="G290" t="s">
        <v>181</v>
      </c>
      <c r="H290" t="s">
        <v>182</v>
      </c>
      <c r="I290">
        <v>1</v>
      </c>
    </row>
    <row r="291" spans="1:9" x14ac:dyDescent="0.25">
      <c r="A291" t="s">
        <v>241</v>
      </c>
      <c r="B291" t="s">
        <v>241</v>
      </c>
      <c r="C291" s="9">
        <v>46246</v>
      </c>
      <c r="E291" t="s">
        <v>102</v>
      </c>
      <c r="F291">
        <v>80739423</v>
      </c>
      <c r="G291" t="s">
        <v>284</v>
      </c>
      <c r="H291" t="s">
        <v>285</v>
      </c>
      <c r="I291">
        <v>1</v>
      </c>
    </row>
    <row r="292" spans="1:9" x14ac:dyDescent="0.25">
      <c r="A292" t="s">
        <v>244</v>
      </c>
      <c r="B292" t="s">
        <v>244</v>
      </c>
      <c r="C292" s="9">
        <v>46246</v>
      </c>
      <c r="E292" t="s">
        <v>102</v>
      </c>
      <c r="F292">
        <v>80739423</v>
      </c>
      <c r="G292" t="s">
        <v>284</v>
      </c>
      <c r="H292" t="s">
        <v>285</v>
      </c>
      <c r="I292">
        <v>1</v>
      </c>
    </row>
    <row r="293" spans="1:9" x14ac:dyDescent="0.25">
      <c r="A293" t="s">
        <v>242</v>
      </c>
      <c r="B293" t="s">
        <v>242</v>
      </c>
      <c r="C293" s="9">
        <v>46246</v>
      </c>
      <c r="E293" t="s">
        <v>102</v>
      </c>
      <c r="F293">
        <v>80762958</v>
      </c>
      <c r="G293" t="s">
        <v>286</v>
      </c>
      <c r="H293" t="s">
        <v>287</v>
      </c>
      <c r="I293">
        <v>1</v>
      </c>
    </row>
    <row r="294" spans="1:9" x14ac:dyDescent="0.25">
      <c r="A294" t="s">
        <v>244</v>
      </c>
      <c r="B294" t="s">
        <v>244</v>
      </c>
      <c r="C294" s="9">
        <v>46246</v>
      </c>
      <c r="E294" t="s">
        <v>102</v>
      </c>
      <c r="F294">
        <v>80895482</v>
      </c>
      <c r="G294" t="s">
        <v>288</v>
      </c>
      <c r="H294" t="s">
        <v>289</v>
      </c>
      <c r="I294">
        <v>2</v>
      </c>
    </row>
    <row r="295" spans="1:9" x14ac:dyDescent="0.25">
      <c r="A295" t="s">
        <v>247</v>
      </c>
      <c r="B295" t="s">
        <v>247</v>
      </c>
      <c r="C295" s="9">
        <v>46246</v>
      </c>
      <c r="E295" t="s">
        <v>102</v>
      </c>
      <c r="F295">
        <v>83933413</v>
      </c>
      <c r="G295" t="s">
        <v>185</v>
      </c>
      <c r="H295" t="s">
        <v>186</v>
      </c>
      <c r="I295">
        <v>11</v>
      </c>
    </row>
    <row r="296" spans="1:9" x14ac:dyDescent="0.25">
      <c r="A296" t="s">
        <v>246</v>
      </c>
      <c r="B296" t="s">
        <v>246</v>
      </c>
      <c r="C296" s="9">
        <v>46246</v>
      </c>
      <c r="E296" t="s">
        <v>102</v>
      </c>
      <c r="F296">
        <v>83933413</v>
      </c>
      <c r="G296" t="s">
        <v>185</v>
      </c>
      <c r="H296" t="s">
        <v>186</v>
      </c>
      <c r="I296">
        <v>14</v>
      </c>
    </row>
    <row r="297" spans="1:9" x14ac:dyDescent="0.25">
      <c r="A297" t="s">
        <v>241</v>
      </c>
      <c r="B297" t="s">
        <v>241</v>
      </c>
      <c r="C297" s="9">
        <v>46246</v>
      </c>
      <c r="E297" t="s">
        <v>102</v>
      </c>
      <c r="F297">
        <v>83933413</v>
      </c>
      <c r="G297" t="s">
        <v>185</v>
      </c>
      <c r="H297" t="s">
        <v>186</v>
      </c>
      <c r="I297">
        <v>14</v>
      </c>
    </row>
    <row r="298" spans="1:9" x14ac:dyDescent="0.25">
      <c r="A298" t="s">
        <v>245</v>
      </c>
      <c r="B298" t="s">
        <v>245</v>
      </c>
      <c r="C298" s="9">
        <v>46246</v>
      </c>
      <c r="E298" t="s">
        <v>102</v>
      </c>
      <c r="F298">
        <v>83933413</v>
      </c>
      <c r="G298" t="s">
        <v>185</v>
      </c>
      <c r="H298" t="s">
        <v>186</v>
      </c>
      <c r="I298">
        <v>14</v>
      </c>
    </row>
    <row r="299" spans="1:9" x14ac:dyDescent="0.25">
      <c r="A299" t="s">
        <v>242</v>
      </c>
      <c r="B299" t="s">
        <v>242</v>
      </c>
      <c r="C299" s="9">
        <v>46246</v>
      </c>
      <c r="E299" t="s">
        <v>102</v>
      </c>
      <c r="F299">
        <v>83933413</v>
      </c>
      <c r="G299" t="s">
        <v>185</v>
      </c>
      <c r="H299" t="s">
        <v>186</v>
      </c>
      <c r="I299">
        <v>96</v>
      </c>
    </row>
    <row r="300" spans="1:9" x14ac:dyDescent="0.25">
      <c r="A300" t="s">
        <v>243</v>
      </c>
      <c r="B300" t="s">
        <v>243</v>
      </c>
      <c r="C300" s="9">
        <v>46246</v>
      </c>
      <c r="E300" t="s">
        <v>102</v>
      </c>
      <c r="F300">
        <v>83933413</v>
      </c>
      <c r="G300" t="s">
        <v>185</v>
      </c>
      <c r="H300" t="s">
        <v>186</v>
      </c>
      <c r="I300">
        <v>8</v>
      </c>
    </row>
    <row r="301" spans="1:9" x14ac:dyDescent="0.25">
      <c r="A301" t="s">
        <v>244</v>
      </c>
      <c r="B301" t="s">
        <v>244</v>
      </c>
      <c r="C301" s="9">
        <v>46246</v>
      </c>
      <c r="E301" t="s">
        <v>102</v>
      </c>
      <c r="F301">
        <v>83933413</v>
      </c>
      <c r="G301" t="s">
        <v>185</v>
      </c>
      <c r="H301" t="s">
        <v>186</v>
      </c>
      <c r="I301">
        <v>46</v>
      </c>
    </row>
    <row r="302" spans="1:9" x14ac:dyDescent="0.25">
      <c r="A302" t="s">
        <v>242</v>
      </c>
      <c r="B302" t="s">
        <v>242</v>
      </c>
      <c r="C302" s="9">
        <v>46246</v>
      </c>
      <c r="E302" t="s">
        <v>102</v>
      </c>
      <c r="F302">
        <v>80895465</v>
      </c>
      <c r="G302" t="s">
        <v>187</v>
      </c>
      <c r="H302" t="s">
        <v>188</v>
      </c>
      <c r="I302">
        <v>18</v>
      </c>
    </row>
    <row r="303" spans="1:9" x14ac:dyDescent="0.25">
      <c r="A303" t="s">
        <v>244</v>
      </c>
      <c r="B303" t="s">
        <v>244</v>
      </c>
      <c r="C303" s="9">
        <v>46246</v>
      </c>
      <c r="E303" t="s">
        <v>102</v>
      </c>
      <c r="F303">
        <v>80895465</v>
      </c>
      <c r="G303" t="s">
        <v>187</v>
      </c>
      <c r="H303" t="s">
        <v>188</v>
      </c>
      <c r="I303">
        <v>1</v>
      </c>
    </row>
    <row r="304" spans="1:9" x14ac:dyDescent="0.25">
      <c r="A304" t="s">
        <v>247</v>
      </c>
      <c r="B304" t="s">
        <v>247</v>
      </c>
      <c r="C304" s="9">
        <v>46246</v>
      </c>
      <c r="E304" t="s">
        <v>102</v>
      </c>
      <c r="F304">
        <v>83924708</v>
      </c>
      <c r="G304" t="s">
        <v>189</v>
      </c>
      <c r="H304" t="s">
        <v>290</v>
      </c>
      <c r="I304">
        <v>11</v>
      </c>
    </row>
    <row r="305" spans="1:9" x14ac:dyDescent="0.25">
      <c r="A305" t="s">
        <v>244</v>
      </c>
      <c r="B305" t="s">
        <v>244</v>
      </c>
      <c r="C305" s="9">
        <v>46246</v>
      </c>
      <c r="E305" t="s">
        <v>102</v>
      </c>
      <c r="F305">
        <v>83924708</v>
      </c>
      <c r="G305" t="s">
        <v>189</v>
      </c>
      <c r="H305" t="s">
        <v>290</v>
      </c>
      <c r="I305">
        <v>19</v>
      </c>
    </row>
    <row r="306" spans="1:9" x14ac:dyDescent="0.25">
      <c r="A306" t="s">
        <v>243</v>
      </c>
      <c r="B306" t="s">
        <v>243</v>
      </c>
      <c r="C306" s="9">
        <v>46246</v>
      </c>
      <c r="E306" t="s">
        <v>102</v>
      </c>
      <c r="F306">
        <v>83924708</v>
      </c>
      <c r="G306" t="s">
        <v>189</v>
      </c>
      <c r="H306" t="s">
        <v>290</v>
      </c>
      <c r="I306">
        <v>10</v>
      </c>
    </row>
    <row r="307" spans="1:9" x14ac:dyDescent="0.25">
      <c r="A307" t="s">
        <v>242</v>
      </c>
      <c r="B307" t="s">
        <v>242</v>
      </c>
      <c r="C307" s="9">
        <v>46246</v>
      </c>
      <c r="E307" t="s">
        <v>102</v>
      </c>
      <c r="F307">
        <v>83924708</v>
      </c>
      <c r="G307" t="s">
        <v>189</v>
      </c>
      <c r="H307" t="s">
        <v>290</v>
      </c>
      <c r="I307">
        <v>2</v>
      </c>
    </row>
    <row r="308" spans="1:9" x14ac:dyDescent="0.25">
      <c r="A308" t="s">
        <v>247</v>
      </c>
      <c r="B308" t="s">
        <v>247</v>
      </c>
      <c r="C308" s="9">
        <v>46246</v>
      </c>
      <c r="E308" t="s">
        <v>102</v>
      </c>
      <c r="F308">
        <v>83918762</v>
      </c>
      <c r="G308" t="s">
        <v>191</v>
      </c>
      <c r="H308" t="s">
        <v>192</v>
      </c>
      <c r="I308">
        <v>16</v>
      </c>
    </row>
    <row r="309" spans="1:9" x14ac:dyDescent="0.25">
      <c r="A309" t="s">
        <v>246</v>
      </c>
      <c r="B309" t="s">
        <v>246</v>
      </c>
      <c r="C309" s="9">
        <v>46246</v>
      </c>
      <c r="E309" t="s">
        <v>102</v>
      </c>
      <c r="F309">
        <v>83918762</v>
      </c>
      <c r="G309" t="s">
        <v>191</v>
      </c>
      <c r="H309" t="s">
        <v>192</v>
      </c>
      <c r="I309">
        <v>2</v>
      </c>
    </row>
    <row r="310" spans="1:9" x14ac:dyDescent="0.25">
      <c r="A310" t="s">
        <v>242</v>
      </c>
      <c r="B310" t="s">
        <v>242</v>
      </c>
      <c r="C310" s="9">
        <v>46246</v>
      </c>
      <c r="E310" t="s">
        <v>102</v>
      </c>
      <c r="F310">
        <v>83918762</v>
      </c>
      <c r="G310" t="s">
        <v>191</v>
      </c>
      <c r="H310" t="s">
        <v>192</v>
      </c>
      <c r="I310">
        <v>5</v>
      </c>
    </row>
    <row r="311" spans="1:9" x14ac:dyDescent="0.25">
      <c r="A311" t="s">
        <v>241</v>
      </c>
      <c r="B311" t="s">
        <v>241</v>
      </c>
      <c r="C311" s="9">
        <v>46246</v>
      </c>
      <c r="E311" t="s">
        <v>102</v>
      </c>
      <c r="F311">
        <v>83918762</v>
      </c>
      <c r="G311" t="s">
        <v>191</v>
      </c>
      <c r="H311" t="s">
        <v>192</v>
      </c>
      <c r="I311">
        <v>3</v>
      </c>
    </row>
    <row r="312" spans="1:9" x14ac:dyDescent="0.25">
      <c r="A312" t="s">
        <v>245</v>
      </c>
      <c r="B312" t="s">
        <v>245</v>
      </c>
      <c r="C312" s="9">
        <v>46246</v>
      </c>
      <c r="E312" t="s">
        <v>102</v>
      </c>
      <c r="F312">
        <v>83918762</v>
      </c>
      <c r="G312" t="s">
        <v>191</v>
      </c>
      <c r="H312" t="s">
        <v>192</v>
      </c>
      <c r="I312">
        <v>2</v>
      </c>
    </row>
    <row r="313" spans="1:9" x14ac:dyDescent="0.25">
      <c r="A313" t="s">
        <v>243</v>
      </c>
      <c r="B313" t="s">
        <v>243</v>
      </c>
      <c r="C313" s="9">
        <v>46246</v>
      </c>
      <c r="E313" t="s">
        <v>102</v>
      </c>
      <c r="F313">
        <v>83918762</v>
      </c>
      <c r="G313" t="s">
        <v>191</v>
      </c>
      <c r="H313" t="s">
        <v>192</v>
      </c>
      <c r="I313">
        <v>24</v>
      </c>
    </row>
    <row r="314" spans="1:9" x14ac:dyDescent="0.25">
      <c r="A314" t="s">
        <v>244</v>
      </c>
      <c r="B314" t="s">
        <v>244</v>
      </c>
      <c r="C314" s="9">
        <v>46246</v>
      </c>
      <c r="E314" t="s">
        <v>102</v>
      </c>
      <c r="F314">
        <v>83918762</v>
      </c>
      <c r="G314" t="s">
        <v>191</v>
      </c>
      <c r="H314" t="s">
        <v>192</v>
      </c>
      <c r="I314">
        <v>35</v>
      </c>
    </row>
    <row r="315" spans="1:9" x14ac:dyDescent="0.25">
      <c r="A315" t="s">
        <v>244</v>
      </c>
      <c r="B315" t="s">
        <v>244</v>
      </c>
      <c r="C315" s="9">
        <v>46246</v>
      </c>
      <c r="E315" t="s">
        <v>102</v>
      </c>
      <c r="F315">
        <v>83918765</v>
      </c>
      <c r="G315" t="s">
        <v>193</v>
      </c>
      <c r="H315" t="s">
        <v>194</v>
      </c>
      <c r="I315">
        <v>94</v>
      </c>
    </row>
    <row r="316" spans="1:9" x14ac:dyDescent="0.25">
      <c r="A316" t="s">
        <v>247</v>
      </c>
      <c r="B316" t="s">
        <v>247</v>
      </c>
      <c r="C316" s="9">
        <v>46246</v>
      </c>
      <c r="E316" t="s">
        <v>102</v>
      </c>
      <c r="F316">
        <v>83918765</v>
      </c>
      <c r="G316" t="s">
        <v>193</v>
      </c>
      <c r="H316" t="s">
        <v>194</v>
      </c>
      <c r="I316">
        <v>25</v>
      </c>
    </row>
    <row r="317" spans="1:9" x14ac:dyDescent="0.25">
      <c r="A317" t="s">
        <v>243</v>
      </c>
      <c r="B317" t="s">
        <v>243</v>
      </c>
      <c r="C317" s="9">
        <v>46246</v>
      </c>
      <c r="E317" t="s">
        <v>102</v>
      </c>
      <c r="F317">
        <v>83918765</v>
      </c>
      <c r="G317" t="s">
        <v>193</v>
      </c>
      <c r="H317" t="s">
        <v>194</v>
      </c>
      <c r="I317">
        <v>42</v>
      </c>
    </row>
    <row r="318" spans="1:9" x14ac:dyDescent="0.25">
      <c r="A318" t="s">
        <v>246</v>
      </c>
      <c r="B318" t="s">
        <v>246</v>
      </c>
      <c r="C318" s="9">
        <v>46246</v>
      </c>
      <c r="E318" t="s">
        <v>102</v>
      </c>
      <c r="F318">
        <v>83918765</v>
      </c>
      <c r="G318" t="s">
        <v>193</v>
      </c>
      <c r="H318" t="s">
        <v>194</v>
      </c>
      <c r="I318">
        <v>16</v>
      </c>
    </row>
    <row r="319" spans="1:9" x14ac:dyDescent="0.25">
      <c r="A319" t="s">
        <v>241</v>
      </c>
      <c r="B319" t="s">
        <v>241</v>
      </c>
      <c r="C319" s="9">
        <v>46246</v>
      </c>
      <c r="E319" t="s">
        <v>102</v>
      </c>
      <c r="F319">
        <v>83918765</v>
      </c>
      <c r="G319" t="s">
        <v>193</v>
      </c>
      <c r="H319" t="s">
        <v>194</v>
      </c>
      <c r="I319">
        <v>77</v>
      </c>
    </row>
    <row r="320" spans="1:9" x14ac:dyDescent="0.25">
      <c r="A320" t="s">
        <v>245</v>
      </c>
      <c r="B320" t="s">
        <v>245</v>
      </c>
      <c r="C320" s="9">
        <v>46246</v>
      </c>
      <c r="E320" t="s">
        <v>102</v>
      </c>
      <c r="F320">
        <v>83918765</v>
      </c>
      <c r="G320" t="s">
        <v>193</v>
      </c>
      <c r="H320" t="s">
        <v>194</v>
      </c>
      <c r="I320">
        <v>38</v>
      </c>
    </row>
    <row r="321" spans="1:9" x14ac:dyDescent="0.25">
      <c r="A321" t="s">
        <v>242</v>
      </c>
      <c r="B321" t="s">
        <v>242</v>
      </c>
      <c r="C321" s="9">
        <v>46246</v>
      </c>
      <c r="E321" t="s">
        <v>102</v>
      </c>
      <c r="F321">
        <v>83918765</v>
      </c>
      <c r="G321" t="s">
        <v>193</v>
      </c>
      <c r="H321" t="s">
        <v>194</v>
      </c>
      <c r="I321">
        <v>545</v>
      </c>
    </row>
    <row r="322" spans="1:9" x14ac:dyDescent="0.25">
      <c r="A322" t="s">
        <v>247</v>
      </c>
      <c r="B322" t="s">
        <v>247</v>
      </c>
      <c r="C322" s="9">
        <v>46246</v>
      </c>
      <c r="E322" t="s">
        <v>102</v>
      </c>
      <c r="F322">
        <v>83912164</v>
      </c>
      <c r="G322" t="s">
        <v>195</v>
      </c>
      <c r="H322" t="s">
        <v>196</v>
      </c>
      <c r="I322">
        <v>3</v>
      </c>
    </row>
    <row r="323" spans="1:9" x14ac:dyDescent="0.25">
      <c r="A323" t="s">
        <v>243</v>
      </c>
      <c r="B323" t="s">
        <v>243</v>
      </c>
      <c r="C323" s="9">
        <v>46246</v>
      </c>
      <c r="E323" t="s">
        <v>102</v>
      </c>
      <c r="F323">
        <v>83912164</v>
      </c>
      <c r="G323" t="s">
        <v>195</v>
      </c>
      <c r="H323" t="s">
        <v>196</v>
      </c>
      <c r="I323">
        <v>18</v>
      </c>
    </row>
    <row r="324" spans="1:9" x14ac:dyDescent="0.25">
      <c r="A324" t="s">
        <v>242</v>
      </c>
      <c r="B324" t="s">
        <v>242</v>
      </c>
      <c r="C324" s="9">
        <v>46246</v>
      </c>
      <c r="E324" t="s">
        <v>102</v>
      </c>
      <c r="F324">
        <v>83912164</v>
      </c>
      <c r="G324" t="s">
        <v>195</v>
      </c>
      <c r="H324" t="s">
        <v>196</v>
      </c>
      <c r="I324">
        <v>132</v>
      </c>
    </row>
    <row r="325" spans="1:9" x14ac:dyDescent="0.25">
      <c r="A325" t="s">
        <v>245</v>
      </c>
      <c r="B325" t="s">
        <v>245</v>
      </c>
      <c r="C325" s="9">
        <v>46246</v>
      </c>
      <c r="E325" t="s">
        <v>102</v>
      </c>
      <c r="F325">
        <v>83912164</v>
      </c>
      <c r="G325" t="s">
        <v>195</v>
      </c>
      <c r="H325" t="s">
        <v>196</v>
      </c>
      <c r="I325">
        <v>21</v>
      </c>
    </row>
    <row r="326" spans="1:9" x14ac:dyDescent="0.25">
      <c r="A326" t="s">
        <v>244</v>
      </c>
      <c r="B326" t="s">
        <v>244</v>
      </c>
      <c r="C326" s="9">
        <v>46246</v>
      </c>
      <c r="E326" t="s">
        <v>102</v>
      </c>
      <c r="F326">
        <v>83912164</v>
      </c>
      <c r="G326" t="s">
        <v>195</v>
      </c>
      <c r="H326" t="s">
        <v>196</v>
      </c>
      <c r="I326">
        <v>24</v>
      </c>
    </row>
    <row r="327" spans="1:9" x14ac:dyDescent="0.25">
      <c r="A327" t="s">
        <v>246</v>
      </c>
      <c r="B327" t="s">
        <v>246</v>
      </c>
      <c r="C327" s="9">
        <v>46246</v>
      </c>
      <c r="E327" t="s">
        <v>102</v>
      </c>
      <c r="F327">
        <v>83912164</v>
      </c>
      <c r="G327" t="s">
        <v>195</v>
      </c>
      <c r="H327" t="s">
        <v>196</v>
      </c>
      <c r="I327">
        <v>9</v>
      </c>
    </row>
    <row r="328" spans="1:9" x14ac:dyDescent="0.25">
      <c r="A328" t="s">
        <v>241</v>
      </c>
      <c r="B328" t="s">
        <v>241</v>
      </c>
      <c r="C328" s="9">
        <v>46246</v>
      </c>
      <c r="E328" t="s">
        <v>102</v>
      </c>
      <c r="F328">
        <v>83912164</v>
      </c>
      <c r="G328" t="s">
        <v>195</v>
      </c>
      <c r="H328" t="s">
        <v>196</v>
      </c>
      <c r="I328">
        <v>21</v>
      </c>
    </row>
    <row r="329" spans="1:9" x14ac:dyDescent="0.25">
      <c r="A329" t="s">
        <v>243</v>
      </c>
      <c r="B329" t="s">
        <v>243</v>
      </c>
      <c r="C329" s="9">
        <v>46246</v>
      </c>
      <c r="E329" t="s">
        <v>102</v>
      </c>
      <c r="F329">
        <v>83912166</v>
      </c>
      <c r="G329" t="s">
        <v>197</v>
      </c>
      <c r="H329" t="s">
        <v>198</v>
      </c>
      <c r="I329">
        <v>18</v>
      </c>
    </row>
    <row r="330" spans="1:9" x14ac:dyDescent="0.25">
      <c r="A330" t="s">
        <v>246</v>
      </c>
      <c r="B330" t="s">
        <v>246</v>
      </c>
      <c r="C330" s="9">
        <v>46246</v>
      </c>
      <c r="E330" t="s">
        <v>102</v>
      </c>
      <c r="F330">
        <v>83912166</v>
      </c>
      <c r="G330" t="s">
        <v>197</v>
      </c>
      <c r="H330" t="s">
        <v>198</v>
      </c>
      <c r="I330">
        <v>9</v>
      </c>
    </row>
    <row r="331" spans="1:9" x14ac:dyDescent="0.25">
      <c r="A331" t="s">
        <v>247</v>
      </c>
      <c r="B331" t="s">
        <v>247</v>
      </c>
      <c r="C331" s="9">
        <v>46246</v>
      </c>
      <c r="E331" t="s">
        <v>102</v>
      </c>
      <c r="F331">
        <v>83912166</v>
      </c>
      <c r="G331" t="s">
        <v>197</v>
      </c>
      <c r="H331" t="s">
        <v>198</v>
      </c>
      <c r="I331">
        <v>6</v>
      </c>
    </row>
    <row r="332" spans="1:9" x14ac:dyDescent="0.25">
      <c r="A332" t="s">
        <v>244</v>
      </c>
      <c r="B332" t="s">
        <v>244</v>
      </c>
      <c r="C332" s="9">
        <v>46246</v>
      </c>
      <c r="E332" t="s">
        <v>102</v>
      </c>
      <c r="F332">
        <v>83912166</v>
      </c>
      <c r="G332" t="s">
        <v>197</v>
      </c>
      <c r="H332" t="s">
        <v>198</v>
      </c>
      <c r="I332">
        <v>36</v>
      </c>
    </row>
    <row r="333" spans="1:9" x14ac:dyDescent="0.25">
      <c r="A333" t="s">
        <v>241</v>
      </c>
      <c r="B333" t="s">
        <v>241</v>
      </c>
      <c r="C333" s="9">
        <v>46246</v>
      </c>
      <c r="E333" t="s">
        <v>102</v>
      </c>
      <c r="F333">
        <v>83912166</v>
      </c>
      <c r="G333" t="s">
        <v>197</v>
      </c>
      <c r="H333" t="s">
        <v>198</v>
      </c>
      <c r="I333">
        <v>39</v>
      </c>
    </row>
    <row r="334" spans="1:9" x14ac:dyDescent="0.25">
      <c r="A334" t="s">
        <v>242</v>
      </c>
      <c r="B334" t="s">
        <v>242</v>
      </c>
      <c r="C334" s="9">
        <v>46246</v>
      </c>
      <c r="E334" t="s">
        <v>102</v>
      </c>
      <c r="F334">
        <v>83912166</v>
      </c>
      <c r="G334" t="s">
        <v>197</v>
      </c>
      <c r="H334" t="s">
        <v>198</v>
      </c>
      <c r="I334">
        <v>141</v>
      </c>
    </row>
    <row r="335" spans="1:9" x14ac:dyDescent="0.25">
      <c r="A335" t="s">
        <v>245</v>
      </c>
      <c r="B335" t="s">
        <v>245</v>
      </c>
      <c r="C335" s="9">
        <v>46246</v>
      </c>
      <c r="E335" t="s">
        <v>102</v>
      </c>
      <c r="F335">
        <v>83912166</v>
      </c>
      <c r="G335" t="s">
        <v>197</v>
      </c>
      <c r="H335" t="s">
        <v>198</v>
      </c>
      <c r="I335">
        <v>3</v>
      </c>
    </row>
    <row r="336" spans="1:9" x14ac:dyDescent="0.25">
      <c r="A336" t="s">
        <v>242</v>
      </c>
      <c r="B336" t="s">
        <v>242</v>
      </c>
      <c r="C336" s="9">
        <v>46246</v>
      </c>
      <c r="E336" t="s">
        <v>102</v>
      </c>
      <c r="F336">
        <v>83918758</v>
      </c>
      <c r="G336" t="s">
        <v>199</v>
      </c>
      <c r="H336" t="s">
        <v>200</v>
      </c>
      <c r="I336">
        <v>33</v>
      </c>
    </row>
    <row r="337" spans="1:9" x14ac:dyDescent="0.25">
      <c r="A337" t="s">
        <v>243</v>
      </c>
      <c r="B337" t="s">
        <v>243</v>
      </c>
      <c r="C337" s="9">
        <v>46246</v>
      </c>
      <c r="E337" t="s">
        <v>102</v>
      </c>
      <c r="F337">
        <v>83918758</v>
      </c>
      <c r="G337" t="s">
        <v>199</v>
      </c>
      <c r="H337" t="s">
        <v>200</v>
      </c>
      <c r="I337">
        <v>3</v>
      </c>
    </row>
    <row r="338" spans="1:9" x14ac:dyDescent="0.25">
      <c r="A338" t="s">
        <v>244</v>
      </c>
      <c r="B338" t="s">
        <v>244</v>
      </c>
      <c r="C338" s="9">
        <v>46246</v>
      </c>
      <c r="E338" t="s">
        <v>102</v>
      </c>
      <c r="F338">
        <v>83918758</v>
      </c>
      <c r="G338" t="s">
        <v>199</v>
      </c>
      <c r="H338" t="s">
        <v>200</v>
      </c>
      <c r="I338">
        <v>12</v>
      </c>
    </row>
    <row r="339" spans="1:9" x14ac:dyDescent="0.25">
      <c r="A339" t="s">
        <v>241</v>
      </c>
      <c r="B339" t="s">
        <v>241</v>
      </c>
      <c r="C339" s="9">
        <v>46246</v>
      </c>
      <c r="E339" t="s">
        <v>102</v>
      </c>
      <c r="F339">
        <v>83918758</v>
      </c>
      <c r="G339" t="s">
        <v>199</v>
      </c>
      <c r="H339" t="s">
        <v>200</v>
      </c>
      <c r="I339">
        <v>21</v>
      </c>
    </row>
    <row r="340" spans="1:9" x14ac:dyDescent="0.25">
      <c r="A340" t="s">
        <v>245</v>
      </c>
      <c r="B340" t="s">
        <v>245</v>
      </c>
      <c r="C340" s="9">
        <v>46246</v>
      </c>
      <c r="E340" t="s">
        <v>102</v>
      </c>
      <c r="F340">
        <v>83918758</v>
      </c>
      <c r="G340" t="s">
        <v>199</v>
      </c>
      <c r="H340" t="s">
        <v>200</v>
      </c>
      <c r="I340">
        <v>3</v>
      </c>
    </row>
    <row r="341" spans="1:9" x14ac:dyDescent="0.25">
      <c r="A341" t="s">
        <v>246</v>
      </c>
      <c r="B341" t="s">
        <v>246</v>
      </c>
      <c r="C341" s="9">
        <v>46246</v>
      </c>
      <c r="E341" t="s">
        <v>102</v>
      </c>
      <c r="F341">
        <v>83918758</v>
      </c>
      <c r="G341" t="s">
        <v>199</v>
      </c>
      <c r="H341" t="s">
        <v>200</v>
      </c>
      <c r="I341">
        <v>3</v>
      </c>
    </row>
    <row r="342" spans="1:9" x14ac:dyDescent="0.25">
      <c r="A342" t="s">
        <v>246</v>
      </c>
      <c r="B342" t="s">
        <v>246</v>
      </c>
      <c r="C342" s="9">
        <v>46246</v>
      </c>
      <c r="E342" t="s">
        <v>102</v>
      </c>
      <c r="F342">
        <v>83918759</v>
      </c>
      <c r="G342" t="s">
        <v>201</v>
      </c>
      <c r="H342" t="s">
        <v>202</v>
      </c>
      <c r="I342">
        <v>15</v>
      </c>
    </row>
    <row r="343" spans="1:9" x14ac:dyDescent="0.25">
      <c r="A343" t="s">
        <v>243</v>
      </c>
      <c r="B343" t="s">
        <v>243</v>
      </c>
      <c r="C343" s="9">
        <v>46246</v>
      </c>
      <c r="E343" t="s">
        <v>102</v>
      </c>
      <c r="F343">
        <v>83918759</v>
      </c>
      <c r="G343" t="s">
        <v>201</v>
      </c>
      <c r="H343" t="s">
        <v>202</v>
      </c>
      <c r="I343">
        <v>60</v>
      </c>
    </row>
    <row r="344" spans="1:9" x14ac:dyDescent="0.25">
      <c r="A344" t="s">
        <v>241</v>
      </c>
      <c r="B344" t="s">
        <v>241</v>
      </c>
      <c r="C344" s="9">
        <v>46246</v>
      </c>
      <c r="E344" t="s">
        <v>102</v>
      </c>
      <c r="F344">
        <v>83918759</v>
      </c>
      <c r="G344" t="s">
        <v>201</v>
      </c>
      <c r="H344" t="s">
        <v>202</v>
      </c>
      <c r="I344">
        <v>141</v>
      </c>
    </row>
    <row r="345" spans="1:9" x14ac:dyDescent="0.25">
      <c r="A345" t="s">
        <v>244</v>
      </c>
      <c r="B345" t="s">
        <v>244</v>
      </c>
      <c r="C345" s="9">
        <v>46246</v>
      </c>
      <c r="E345" t="s">
        <v>102</v>
      </c>
      <c r="F345">
        <v>83918759</v>
      </c>
      <c r="G345" t="s">
        <v>201</v>
      </c>
      <c r="H345" t="s">
        <v>202</v>
      </c>
      <c r="I345">
        <v>54</v>
      </c>
    </row>
    <row r="346" spans="1:9" x14ac:dyDescent="0.25">
      <c r="A346" t="s">
        <v>245</v>
      </c>
      <c r="B346" t="s">
        <v>245</v>
      </c>
      <c r="C346" s="9">
        <v>46246</v>
      </c>
      <c r="E346" t="s">
        <v>102</v>
      </c>
      <c r="F346">
        <v>83918759</v>
      </c>
      <c r="G346" t="s">
        <v>201</v>
      </c>
      <c r="H346" t="s">
        <v>202</v>
      </c>
      <c r="I346">
        <v>39</v>
      </c>
    </row>
    <row r="347" spans="1:9" x14ac:dyDescent="0.25">
      <c r="A347" t="s">
        <v>242</v>
      </c>
      <c r="B347" t="s">
        <v>242</v>
      </c>
      <c r="C347" s="9">
        <v>46246</v>
      </c>
      <c r="E347" t="s">
        <v>102</v>
      </c>
      <c r="F347">
        <v>83918759</v>
      </c>
      <c r="G347" t="s">
        <v>201</v>
      </c>
      <c r="H347" t="s">
        <v>202</v>
      </c>
      <c r="I347">
        <v>237</v>
      </c>
    </row>
    <row r="348" spans="1:9" x14ac:dyDescent="0.25">
      <c r="A348" t="s">
        <v>247</v>
      </c>
      <c r="B348" t="s">
        <v>247</v>
      </c>
      <c r="C348" s="9">
        <v>46246</v>
      </c>
      <c r="E348" t="s">
        <v>102</v>
      </c>
      <c r="F348">
        <v>83918759</v>
      </c>
      <c r="G348" t="s">
        <v>201</v>
      </c>
      <c r="H348" t="s">
        <v>202</v>
      </c>
      <c r="I348">
        <v>39</v>
      </c>
    </row>
    <row r="349" spans="1:9" x14ac:dyDescent="0.25">
      <c r="A349" t="s">
        <v>243</v>
      </c>
      <c r="B349" t="s">
        <v>243</v>
      </c>
      <c r="C349" s="9">
        <v>46246</v>
      </c>
      <c r="E349" t="s">
        <v>102</v>
      </c>
      <c r="F349">
        <v>80895517</v>
      </c>
      <c r="G349" t="s">
        <v>203</v>
      </c>
      <c r="H349" t="s">
        <v>204</v>
      </c>
      <c r="I349">
        <v>18</v>
      </c>
    </row>
    <row r="350" spans="1:9" x14ac:dyDescent="0.25">
      <c r="A350" t="s">
        <v>247</v>
      </c>
      <c r="B350" t="s">
        <v>247</v>
      </c>
      <c r="C350" s="9">
        <v>46246</v>
      </c>
      <c r="E350" t="s">
        <v>102</v>
      </c>
      <c r="F350">
        <v>80895517</v>
      </c>
      <c r="G350" t="s">
        <v>203</v>
      </c>
      <c r="H350" t="s">
        <v>204</v>
      </c>
      <c r="I350">
        <v>3</v>
      </c>
    </row>
    <row r="351" spans="1:9" x14ac:dyDescent="0.25">
      <c r="A351" t="s">
        <v>244</v>
      </c>
      <c r="B351" t="s">
        <v>244</v>
      </c>
      <c r="C351" s="9">
        <v>46246</v>
      </c>
      <c r="E351" t="s">
        <v>102</v>
      </c>
      <c r="F351">
        <v>80895517</v>
      </c>
      <c r="G351" t="s">
        <v>203</v>
      </c>
      <c r="H351" t="s">
        <v>204</v>
      </c>
      <c r="I351">
        <v>18</v>
      </c>
    </row>
    <row r="352" spans="1:9" x14ac:dyDescent="0.25">
      <c r="A352" t="s">
        <v>241</v>
      </c>
      <c r="B352" t="s">
        <v>241</v>
      </c>
      <c r="C352" s="9">
        <v>46246</v>
      </c>
      <c r="E352" t="s">
        <v>102</v>
      </c>
      <c r="F352">
        <v>80895517</v>
      </c>
      <c r="G352" t="s">
        <v>203</v>
      </c>
      <c r="H352" t="s">
        <v>204</v>
      </c>
      <c r="I352">
        <v>24</v>
      </c>
    </row>
    <row r="353" spans="1:9" x14ac:dyDescent="0.25">
      <c r="A353" t="s">
        <v>245</v>
      </c>
      <c r="B353" t="s">
        <v>245</v>
      </c>
      <c r="C353" s="9">
        <v>46246</v>
      </c>
      <c r="E353" t="s">
        <v>102</v>
      </c>
      <c r="F353">
        <v>80895517</v>
      </c>
      <c r="G353" t="s">
        <v>203</v>
      </c>
      <c r="H353" t="s">
        <v>204</v>
      </c>
      <c r="I353">
        <v>9</v>
      </c>
    </row>
    <row r="354" spans="1:9" x14ac:dyDescent="0.25">
      <c r="A354" t="s">
        <v>242</v>
      </c>
      <c r="B354" t="s">
        <v>242</v>
      </c>
      <c r="C354" s="9">
        <v>46246</v>
      </c>
      <c r="E354" t="s">
        <v>102</v>
      </c>
      <c r="F354">
        <v>80895517</v>
      </c>
      <c r="G354" t="s">
        <v>203</v>
      </c>
      <c r="H354" t="s">
        <v>204</v>
      </c>
      <c r="I354">
        <v>66</v>
      </c>
    </row>
    <row r="355" spans="1:9" x14ac:dyDescent="0.25">
      <c r="A355" t="s">
        <v>244</v>
      </c>
      <c r="B355" t="s">
        <v>244</v>
      </c>
      <c r="C355" s="9">
        <v>46246</v>
      </c>
      <c r="E355" t="s">
        <v>102</v>
      </c>
      <c r="F355">
        <v>80895503</v>
      </c>
      <c r="G355" t="s">
        <v>291</v>
      </c>
      <c r="H355" t="s">
        <v>292</v>
      </c>
      <c r="I355">
        <v>3</v>
      </c>
    </row>
    <row r="356" spans="1:9" x14ac:dyDescent="0.25">
      <c r="A356" t="s">
        <v>245</v>
      </c>
      <c r="B356" t="s">
        <v>245</v>
      </c>
      <c r="C356" s="9">
        <v>46246</v>
      </c>
      <c r="E356" t="s">
        <v>102</v>
      </c>
      <c r="F356">
        <v>80895503</v>
      </c>
      <c r="G356" t="s">
        <v>291</v>
      </c>
      <c r="H356" t="s">
        <v>292</v>
      </c>
      <c r="I356">
        <v>3</v>
      </c>
    </row>
    <row r="357" spans="1:9" x14ac:dyDescent="0.25">
      <c r="A357" t="s">
        <v>242</v>
      </c>
      <c r="B357" t="s">
        <v>242</v>
      </c>
      <c r="C357" s="9">
        <v>46246</v>
      </c>
      <c r="E357" t="s">
        <v>102</v>
      </c>
      <c r="F357">
        <v>80895502</v>
      </c>
      <c r="G357" t="s">
        <v>293</v>
      </c>
      <c r="H357" t="s">
        <v>294</v>
      </c>
      <c r="I357">
        <v>3</v>
      </c>
    </row>
    <row r="358" spans="1:9" x14ac:dyDescent="0.25">
      <c r="A358" t="s">
        <v>246</v>
      </c>
      <c r="B358" t="s">
        <v>246</v>
      </c>
      <c r="C358" s="9">
        <v>46246</v>
      </c>
      <c r="E358" t="s">
        <v>102</v>
      </c>
      <c r="F358">
        <v>80895502</v>
      </c>
      <c r="G358" t="s">
        <v>293</v>
      </c>
      <c r="H358" t="s">
        <v>294</v>
      </c>
      <c r="I358">
        <v>3</v>
      </c>
    </row>
    <row r="359" spans="1:9" x14ac:dyDescent="0.25">
      <c r="A359" t="s">
        <v>244</v>
      </c>
      <c r="B359" t="s">
        <v>244</v>
      </c>
      <c r="C359" s="9">
        <v>46246</v>
      </c>
      <c r="E359" t="s">
        <v>102</v>
      </c>
      <c r="F359">
        <v>80895500</v>
      </c>
      <c r="G359" t="s">
        <v>205</v>
      </c>
      <c r="H359" t="s">
        <v>206</v>
      </c>
      <c r="I359">
        <v>3</v>
      </c>
    </row>
    <row r="360" spans="1:9" x14ac:dyDescent="0.25">
      <c r="A360" t="s">
        <v>243</v>
      </c>
      <c r="B360" t="s">
        <v>243</v>
      </c>
      <c r="C360" s="9">
        <v>46246</v>
      </c>
      <c r="E360" t="s">
        <v>102</v>
      </c>
      <c r="F360">
        <v>80895500</v>
      </c>
      <c r="G360" t="s">
        <v>205</v>
      </c>
      <c r="H360" t="s">
        <v>206</v>
      </c>
      <c r="I360">
        <v>3</v>
      </c>
    </row>
    <row r="361" spans="1:9" x14ac:dyDescent="0.25">
      <c r="A361" t="s">
        <v>242</v>
      </c>
      <c r="B361" t="s">
        <v>242</v>
      </c>
      <c r="C361" s="9">
        <v>46246</v>
      </c>
      <c r="E361" t="s">
        <v>102</v>
      </c>
      <c r="F361">
        <v>80895500</v>
      </c>
      <c r="G361" t="s">
        <v>205</v>
      </c>
      <c r="H361" t="s">
        <v>206</v>
      </c>
      <c r="I361">
        <v>12</v>
      </c>
    </row>
    <row r="362" spans="1:9" x14ac:dyDescent="0.25">
      <c r="A362" t="s">
        <v>244</v>
      </c>
      <c r="B362" t="s">
        <v>244</v>
      </c>
      <c r="C362" s="9">
        <v>46246</v>
      </c>
      <c r="E362" t="s">
        <v>102</v>
      </c>
      <c r="F362">
        <v>83912172</v>
      </c>
      <c r="G362" t="s">
        <v>207</v>
      </c>
      <c r="H362" t="s">
        <v>208</v>
      </c>
      <c r="I362">
        <v>15</v>
      </c>
    </row>
    <row r="363" spans="1:9" x14ac:dyDescent="0.25">
      <c r="A363" t="s">
        <v>242</v>
      </c>
      <c r="B363" t="s">
        <v>242</v>
      </c>
      <c r="C363" s="9">
        <v>46246</v>
      </c>
      <c r="E363" t="s">
        <v>102</v>
      </c>
      <c r="F363">
        <v>83912172</v>
      </c>
      <c r="G363" t="s">
        <v>207</v>
      </c>
      <c r="H363" t="s">
        <v>208</v>
      </c>
      <c r="I363">
        <v>69</v>
      </c>
    </row>
    <row r="364" spans="1:9" x14ac:dyDescent="0.25">
      <c r="A364" t="s">
        <v>245</v>
      </c>
      <c r="B364" t="s">
        <v>245</v>
      </c>
      <c r="C364" s="9">
        <v>46246</v>
      </c>
      <c r="E364" t="s">
        <v>102</v>
      </c>
      <c r="F364">
        <v>83912172</v>
      </c>
      <c r="G364" t="s">
        <v>207</v>
      </c>
      <c r="H364" t="s">
        <v>208</v>
      </c>
      <c r="I364">
        <v>6</v>
      </c>
    </row>
    <row r="365" spans="1:9" x14ac:dyDescent="0.25">
      <c r="A365" t="s">
        <v>241</v>
      </c>
      <c r="B365" t="s">
        <v>241</v>
      </c>
      <c r="C365" s="9">
        <v>46246</v>
      </c>
      <c r="E365" t="s">
        <v>102</v>
      </c>
      <c r="F365">
        <v>83912172</v>
      </c>
      <c r="G365" t="s">
        <v>207</v>
      </c>
      <c r="H365" t="s">
        <v>208</v>
      </c>
      <c r="I365">
        <v>12</v>
      </c>
    </row>
    <row r="366" spans="1:9" x14ac:dyDescent="0.25">
      <c r="A366" t="s">
        <v>247</v>
      </c>
      <c r="B366" t="s">
        <v>247</v>
      </c>
      <c r="C366" s="9">
        <v>46246</v>
      </c>
      <c r="E366" t="s">
        <v>102</v>
      </c>
      <c r="F366">
        <v>83912172</v>
      </c>
      <c r="G366" t="s">
        <v>207</v>
      </c>
      <c r="H366" t="s">
        <v>208</v>
      </c>
      <c r="I366">
        <v>6</v>
      </c>
    </row>
    <row r="367" spans="1:9" x14ac:dyDescent="0.25">
      <c r="A367" t="s">
        <v>242</v>
      </c>
      <c r="B367" t="s">
        <v>242</v>
      </c>
      <c r="C367" s="9">
        <v>46246</v>
      </c>
      <c r="E367" t="s">
        <v>102</v>
      </c>
      <c r="F367">
        <v>80895504</v>
      </c>
      <c r="G367" t="s">
        <v>295</v>
      </c>
      <c r="H367" t="s">
        <v>296</v>
      </c>
      <c r="I367">
        <v>8</v>
      </c>
    </row>
    <row r="368" spans="1:9" x14ac:dyDescent="0.25">
      <c r="A368" t="s">
        <v>244</v>
      </c>
      <c r="B368" t="s">
        <v>244</v>
      </c>
      <c r="C368" s="9">
        <v>46246</v>
      </c>
      <c r="E368" t="s">
        <v>102</v>
      </c>
      <c r="F368">
        <v>80895504</v>
      </c>
      <c r="G368" t="s">
        <v>295</v>
      </c>
      <c r="H368" t="s">
        <v>296</v>
      </c>
      <c r="I368">
        <v>2</v>
      </c>
    </row>
    <row r="369" spans="1:9" x14ac:dyDescent="0.25">
      <c r="A369" t="s">
        <v>242</v>
      </c>
      <c r="B369" t="s">
        <v>242</v>
      </c>
      <c r="C369" s="9">
        <v>46246</v>
      </c>
      <c r="E369" t="s">
        <v>102</v>
      </c>
      <c r="F369">
        <v>83921920</v>
      </c>
      <c r="G369" t="s">
        <v>209</v>
      </c>
      <c r="H369" t="s">
        <v>210</v>
      </c>
      <c r="I369">
        <v>15</v>
      </c>
    </row>
    <row r="370" spans="1:9" x14ac:dyDescent="0.25">
      <c r="A370" t="s">
        <v>244</v>
      </c>
      <c r="B370" t="s">
        <v>244</v>
      </c>
      <c r="C370" s="9">
        <v>46246</v>
      </c>
      <c r="E370" t="s">
        <v>102</v>
      </c>
      <c r="F370">
        <v>83921920</v>
      </c>
      <c r="G370" t="s">
        <v>209</v>
      </c>
      <c r="H370" t="s">
        <v>210</v>
      </c>
      <c r="I370">
        <v>3</v>
      </c>
    </row>
    <row r="371" spans="1:9" x14ac:dyDescent="0.25">
      <c r="A371" t="s">
        <v>245</v>
      </c>
      <c r="B371" t="s">
        <v>245</v>
      </c>
      <c r="C371" s="9">
        <v>46246</v>
      </c>
      <c r="E371" t="s">
        <v>102</v>
      </c>
      <c r="F371">
        <v>83921920</v>
      </c>
      <c r="G371" t="s">
        <v>209</v>
      </c>
      <c r="H371" t="s">
        <v>210</v>
      </c>
      <c r="I371">
        <v>2</v>
      </c>
    </row>
    <row r="372" spans="1:9" x14ac:dyDescent="0.25">
      <c r="A372" t="s">
        <v>243</v>
      </c>
      <c r="B372" t="s">
        <v>243</v>
      </c>
      <c r="C372" s="9">
        <v>46246</v>
      </c>
      <c r="E372" t="s">
        <v>102</v>
      </c>
      <c r="F372">
        <v>83921920</v>
      </c>
      <c r="G372" t="s">
        <v>209</v>
      </c>
      <c r="H372" t="s">
        <v>210</v>
      </c>
      <c r="I372">
        <v>1</v>
      </c>
    </row>
    <row r="373" spans="1:9" x14ac:dyDescent="0.25">
      <c r="A373" t="s">
        <v>241</v>
      </c>
      <c r="B373" t="s">
        <v>241</v>
      </c>
      <c r="C373" s="9">
        <v>46246</v>
      </c>
      <c r="E373" t="s">
        <v>102</v>
      </c>
      <c r="F373">
        <v>83921920</v>
      </c>
      <c r="G373" t="s">
        <v>209</v>
      </c>
      <c r="H373" t="s">
        <v>210</v>
      </c>
      <c r="I373">
        <v>3</v>
      </c>
    </row>
    <row r="374" spans="1:9" x14ac:dyDescent="0.25">
      <c r="A374" t="s">
        <v>243</v>
      </c>
      <c r="B374" t="s">
        <v>243</v>
      </c>
      <c r="C374" s="9">
        <v>46246</v>
      </c>
      <c r="E374" t="s">
        <v>102</v>
      </c>
      <c r="F374">
        <v>80887688</v>
      </c>
      <c r="G374" t="s">
        <v>211</v>
      </c>
      <c r="H374" t="s">
        <v>297</v>
      </c>
      <c r="I374">
        <v>6</v>
      </c>
    </row>
    <row r="375" spans="1:9" x14ac:dyDescent="0.25">
      <c r="A375" t="s">
        <v>247</v>
      </c>
      <c r="B375" t="s">
        <v>247</v>
      </c>
      <c r="C375" s="9">
        <v>46246</v>
      </c>
      <c r="E375" t="s">
        <v>102</v>
      </c>
      <c r="F375">
        <v>83921921</v>
      </c>
      <c r="G375" t="s">
        <v>211</v>
      </c>
      <c r="H375" t="s">
        <v>212</v>
      </c>
      <c r="I375">
        <v>3</v>
      </c>
    </row>
    <row r="376" spans="1:9" x14ac:dyDescent="0.25">
      <c r="A376" t="s">
        <v>243</v>
      </c>
      <c r="B376" t="s">
        <v>243</v>
      </c>
      <c r="C376" s="9">
        <v>46246</v>
      </c>
      <c r="E376" t="s">
        <v>102</v>
      </c>
      <c r="F376">
        <v>83921921</v>
      </c>
      <c r="G376" t="s">
        <v>211</v>
      </c>
      <c r="H376" t="s">
        <v>212</v>
      </c>
      <c r="I376">
        <v>15</v>
      </c>
    </row>
    <row r="377" spans="1:9" x14ac:dyDescent="0.25">
      <c r="A377" t="s">
        <v>244</v>
      </c>
      <c r="B377" t="s">
        <v>244</v>
      </c>
      <c r="C377" s="9">
        <v>46246</v>
      </c>
      <c r="E377" t="s">
        <v>102</v>
      </c>
      <c r="F377">
        <v>83921921</v>
      </c>
      <c r="G377" t="s">
        <v>211</v>
      </c>
      <c r="H377" t="s">
        <v>212</v>
      </c>
      <c r="I377">
        <v>11</v>
      </c>
    </row>
    <row r="378" spans="1:9" x14ac:dyDescent="0.25">
      <c r="A378" t="s">
        <v>246</v>
      </c>
      <c r="B378" t="s">
        <v>246</v>
      </c>
      <c r="C378" s="9">
        <v>46246</v>
      </c>
      <c r="E378" t="s">
        <v>102</v>
      </c>
      <c r="F378">
        <v>83921921</v>
      </c>
      <c r="G378" t="s">
        <v>211</v>
      </c>
      <c r="H378" t="s">
        <v>212</v>
      </c>
      <c r="I378">
        <v>3</v>
      </c>
    </row>
    <row r="379" spans="1:9" x14ac:dyDescent="0.25">
      <c r="A379" t="s">
        <v>245</v>
      </c>
      <c r="B379" t="s">
        <v>245</v>
      </c>
      <c r="C379" s="9">
        <v>46246</v>
      </c>
      <c r="E379" t="s">
        <v>102</v>
      </c>
      <c r="F379">
        <v>83921921</v>
      </c>
      <c r="G379" t="s">
        <v>211</v>
      </c>
      <c r="H379" t="s">
        <v>212</v>
      </c>
      <c r="I379">
        <v>12</v>
      </c>
    </row>
    <row r="380" spans="1:9" x14ac:dyDescent="0.25">
      <c r="A380" t="s">
        <v>241</v>
      </c>
      <c r="B380" t="s">
        <v>241</v>
      </c>
      <c r="C380" s="9">
        <v>46246</v>
      </c>
      <c r="E380" t="s">
        <v>102</v>
      </c>
      <c r="F380">
        <v>83921921</v>
      </c>
      <c r="G380" t="s">
        <v>211</v>
      </c>
      <c r="H380" t="s">
        <v>212</v>
      </c>
      <c r="I380">
        <v>10</v>
      </c>
    </row>
    <row r="381" spans="1:9" x14ac:dyDescent="0.25">
      <c r="A381" t="s">
        <v>242</v>
      </c>
      <c r="B381" t="s">
        <v>242</v>
      </c>
      <c r="C381" s="9">
        <v>46246</v>
      </c>
      <c r="E381" t="s">
        <v>102</v>
      </c>
      <c r="F381">
        <v>83921921</v>
      </c>
      <c r="G381" t="s">
        <v>211</v>
      </c>
      <c r="H381" t="s">
        <v>212</v>
      </c>
      <c r="I381">
        <v>31</v>
      </c>
    </row>
    <row r="382" spans="1:9" x14ac:dyDescent="0.25">
      <c r="A382" t="s">
        <v>245</v>
      </c>
      <c r="B382" t="s">
        <v>245</v>
      </c>
      <c r="C382" s="9">
        <v>46246</v>
      </c>
      <c r="E382" t="s">
        <v>102</v>
      </c>
      <c r="F382">
        <v>83921924</v>
      </c>
      <c r="G382" t="s">
        <v>213</v>
      </c>
      <c r="H382" t="s">
        <v>214</v>
      </c>
      <c r="I382">
        <v>8</v>
      </c>
    </row>
    <row r="383" spans="1:9" x14ac:dyDescent="0.25">
      <c r="A383" t="s">
        <v>244</v>
      </c>
      <c r="B383" t="s">
        <v>244</v>
      </c>
      <c r="C383" s="9">
        <v>46246</v>
      </c>
      <c r="E383" t="s">
        <v>102</v>
      </c>
      <c r="F383">
        <v>83921924</v>
      </c>
      <c r="G383" t="s">
        <v>213</v>
      </c>
      <c r="H383" t="s">
        <v>214</v>
      </c>
      <c r="I383">
        <v>5</v>
      </c>
    </row>
    <row r="384" spans="1:9" x14ac:dyDescent="0.25">
      <c r="A384" t="s">
        <v>241</v>
      </c>
      <c r="B384" t="s">
        <v>241</v>
      </c>
      <c r="C384" s="9">
        <v>46246</v>
      </c>
      <c r="E384" t="s">
        <v>102</v>
      </c>
      <c r="F384">
        <v>83921924</v>
      </c>
      <c r="G384" t="s">
        <v>213</v>
      </c>
      <c r="H384" t="s">
        <v>214</v>
      </c>
      <c r="I384">
        <v>12</v>
      </c>
    </row>
    <row r="385" spans="1:9" x14ac:dyDescent="0.25">
      <c r="A385" t="s">
        <v>242</v>
      </c>
      <c r="B385" t="s">
        <v>242</v>
      </c>
      <c r="C385" s="9">
        <v>46246</v>
      </c>
      <c r="E385" t="s">
        <v>102</v>
      </c>
      <c r="F385">
        <v>83921924</v>
      </c>
      <c r="G385" t="s">
        <v>213</v>
      </c>
      <c r="H385" t="s">
        <v>214</v>
      </c>
      <c r="I385">
        <v>82</v>
      </c>
    </row>
    <row r="386" spans="1:9" x14ac:dyDescent="0.25">
      <c r="A386" t="s">
        <v>246</v>
      </c>
      <c r="B386" t="s">
        <v>246</v>
      </c>
      <c r="C386" s="9">
        <v>46246</v>
      </c>
      <c r="E386" t="s">
        <v>102</v>
      </c>
      <c r="F386">
        <v>83921924</v>
      </c>
      <c r="G386" t="s">
        <v>213</v>
      </c>
      <c r="H386" t="s">
        <v>214</v>
      </c>
      <c r="I386">
        <v>6</v>
      </c>
    </row>
    <row r="387" spans="1:9" x14ac:dyDescent="0.25">
      <c r="A387" t="s">
        <v>243</v>
      </c>
      <c r="B387" t="s">
        <v>243</v>
      </c>
      <c r="C387" s="9">
        <v>46246</v>
      </c>
      <c r="E387" t="s">
        <v>102</v>
      </c>
      <c r="F387">
        <v>83921924</v>
      </c>
      <c r="G387" t="s">
        <v>213</v>
      </c>
      <c r="H387" t="s">
        <v>214</v>
      </c>
      <c r="I387">
        <v>1</v>
      </c>
    </row>
    <row r="388" spans="1:9" x14ac:dyDescent="0.25">
      <c r="A388" t="s">
        <v>243</v>
      </c>
      <c r="B388" t="s">
        <v>243</v>
      </c>
      <c r="C388" s="9">
        <v>46246</v>
      </c>
      <c r="E388" t="s">
        <v>102</v>
      </c>
      <c r="F388">
        <v>83921923</v>
      </c>
      <c r="G388" t="s">
        <v>215</v>
      </c>
      <c r="H388" t="s">
        <v>216</v>
      </c>
      <c r="I388">
        <v>5</v>
      </c>
    </row>
    <row r="389" spans="1:9" x14ac:dyDescent="0.25">
      <c r="A389" t="s">
        <v>245</v>
      </c>
      <c r="B389" t="s">
        <v>245</v>
      </c>
      <c r="C389" s="9">
        <v>46246</v>
      </c>
      <c r="E389" t="s">
        <v>102</v>
      </c>
      <c r="F389">
        <v>83921923</v>
      </c>
      <c r="G389" t="s">
        <v>215</v>
      </c>
      <c r="H389" t="s">
        <v>216</v>
      </c>
      <c r="I389">
        <v>2</v>
      </c>
    </row>
    <row r="390" spans="1:9" x14ac:dyDescent="0.25">
      <c r="A390" t="s">
        <v>242</v>
      </c>
      <c r="B390" t="s">
        <v>242</v>
      </c>
      <c r="C390" s="9">
        <v>46246</v>
      </c>
      <c r="E390" t="s">
        <v>102</v>
      </c>
      <c r="F390">
        <v>83921923</v>
      </c>
      <c r="G390" t="s">
        <v>215</v>
      </c>
      <c r="H390" t="s">
        <v>216</v>
      </c>
      <c r="I390">
        <v>19</v>
      </c>
    </row>
    <row r="391" spans="1:9" x14ac:dyDescent="0.25">
      <c r="A391" t="s">
        <v>244</v>
      </c>
      <c r="B391" t="s">
        <v>244</v>
      </c>
      <c r="C391" s="9">
        <v>46246</v>
      </c>
      <c r="E391" t="s">
        <v>102</v>
      </c>
      <c r="F391">
        <v>83921923</v>
      </c>
      <c r="G391" t="s">
        <v>215</v>
      </c>
      <c r="H391" t="s">
        <v>216</v>
      </c>
      <c r="I391">
        <v>3</v>
      </c>
    </row>
    <row r="392" spans="1:9" x14ac:dyDescent="0.25">
      <c r="A392" t="s">
        <v>246</v>
      </c>
      <c r="B392" t="s">
        <v>246</v>
      </c>
      <c r="C392" s="9">
        <v>46246</v>
      </c>
      <c r="E392" t="s">
        <v>102</v>
      </c>
      <c r="F392">
        <v>83921923</v>
      </c>
      <c r="G392" t="s">
        <v>215</v>
      </c>
      <c r="H392" t="s">
        <v>216</v>
      </c>
      <c r="I392">
        <v>4</v>
      </c>
    </row>
    <row r="393" spans="1:9" x14ac:dyDescent="0.25">
      <c r="A393" t="s">
        <v>247</v>
      </c>
      <c r="B393" t="s">
        <v>247</v>
      </c>
      <c r="C393" s="9">
        <v>46246</v>
      </c>
      <c r="E393" t="s">
        <v>102</v>
      </c>
      <c r="F393">
        <v>83921923</v>
      </c>
      <c r="G393" t="s">
        <v>215</v>
      </c>
      <c r="H393" t="s">
        <v>216</v>
      </c>
      <c r="I393">
        <v>4</v>
      </c>
    </row>
    <row r="394" spans="1:9" x14ac:dyDescent="0.25">
      <c r="A394" t="s">
        <v>241</v>
      </c>
      <c r="B394" t="s">
        <v>241</v>
      </c>
      <c r="C394" s="9">
        <v>46246</v>
      </c>
      <c r="E394" t="s">
        <v>102</v>
      </c>
      <c r="F394">
        <v>83921923</v>
      </c>
      <c r="G394" t="s">
        <v>215</v>
      </c>
      <c r="H394" t="s">
        <v>216</v>
      </c>
      <c r="I394">
        <v>15</v>
      </c>
    </row>
    <row r="395" spans="1:9" x14ac:dyDescent="0.25">
      <c r="A395" t="s">
        <v>242</v>
      </c>
      <c r="B395" t="s">
        <v>242</v>
      </c>
      <c r="C395" s="9">
        <v>46246</v>
      </c>
      <c r="E395" t="s">
        <v>102</v>
      </c>
      <c r="F395">
        <v>80887692</v>
      </c>
      <c r="G395" t="s">
        <v>217</v>
      </c>
      <c r="H395" t="s">
        <v>218</v>
      </c>
      <c r="I395">
        <v>4</v>
      </c>
    </row>
    <row r="396" spans="1:9" x14ac:dyDescent="0.25">
      <c r="A396" t="s">
        <v>244</v>
      </c>
      <c r="B396" t="s">
        <v>244</v>
      </c>
      <c r="C396" s="9">
        <v>46246</v>
      </c>
      <c r="E396" t="s">
        <v>102</v>
      </c>
      <c r="F396">
        <v>80887692</v>
      </c>
      <c r="G396" t="s">
        <v>217</v>
      </c>
      <c r="H396" t="s">
        <v>218</v>
      </c>
      <c r="I396">
        <v>1</v>
      </c>
    </row>
    <row r="397" spans="1:9" x14ac:dyDescent="0.25">
      <c r="A397" t="s">
        <v>241</v>
      </c>
      <c r="B397" t="s">
        <v>241</v>
      </c>
      <c r="C397" s="9">
        <v>46246</v>
      </c>
      <c r="E397" t="s">
        <v>102</v>
      </c>
      <c r="F397">
        <v>80887692</v>
      </c>
      <c r="G397" t="s">
        <v>217</v>
      </c>
      <c r="H397" t="s">
        <v>218</v>
      </c>
      <c r="I397">
        <v>1</v>
      </c>
    </row>
    <row r="398" spans="1:9" x14ac:dyDescent="0.25">
      <c r="A398" t="s">
        <v>245</v>
      </c>
      <c r="B398" t="s">
        <v>245</v>
      </c>
      <c r="C398" s="9">
        <v>46246</v>
      </c>
      <c r="E398" t="s">
        <v>102</v>
      </c>
      <c r="F398">
        <v>80887692</v>
      </c>
      <c r="G398" t="s">
        <v>217</v>
      </c>
      <c r="H398" t="s">
        <v>218</v>
      </c>
      <c r="I398">
        <v>4</v>
      </c>
    </row>
    <row r="399" spans="1:9" x14ac:dyDescent="0.25">
      <c r="A399" t="s">
        <v>246</v>
      </c>
      <c r="B399" t="s">
        <v>246</v>
      </c>
      <c r="C399" s="9">
        <v>46246</v>
      </c>
      <c r="E399" t="s">
        <v>102</v>
      </c>
      <c r="F399">
        <v>83911268</v>
      </c>
      <c r="G399" t="s">
        <v>219</v>
      </c>
      <c r="H399" t="s">
        <v>220</v>
      </c>
      <c r="I399">
        <v>3</v>
      </c>
    </row>
    <row r="400" spans="1:9" x14ac:dyDescent="0.25">
      <c r="A400" t="s">
        <v>244</v>
      </c>
      <c r="B400" t="s">
        <v>244</v>
      </c>
      <c r="C400" s="9">
        <v>46246</v>
      </c>
      <c r="E400" t="s">
        <v>102</v>
      </c>
      <c r="F400">
        <v>83911268</v>
      </c>
      <c r="G400" t="s">
        <v>219</v>
      </c>
      <c r="H400" t="s">
        <v>220</v>
      </c>
      <c r="I400">
        <v>18</v>
      </c>
    </row>
    <row r="401" spans="1:9" x14ac:dyDescent="0.25">
      <c r="A401" t="s">
        <v>242</v>
      </c>
      <c r="B401" t="s">
        <v>242</v>
      </c>
      <c r="C401" s="9">
        <v>46246</v>
      </c>
      <c r="E401" t="s">
        <v>102</v>
      </c>
      <c r="F401">
        <v>83911268</v>
      </c>
      <c r="G401" t="s">
        <v>219</v>
      </c>
      <c r="H401" t="s">
        <v>220</v>
      </c>
      <c r="I401">
        <v>63</v>
      </c>
    </row>
    <row r="402" spans="1:9" x14ac:dyDescent="0.25">
      <c r="A402" t="s">
        <v>245</v>
      </c>
      <c r="B402" t="s">
        <v>245</v>
      </c>
      <c r="C402" s="9">
        <v>46246</v>
      </c>
      <c r="E402" t="s">
        <v>102</v>
      </c>
      <c r="F402">
        <v>83911268</v>
      </c>
      <c r="G402" t="s">
        <v>219</v>
      </c>
      <c r="H402" t="s">
        <v>220</v>
      </c>
      <c r="I402">
        <v>3</v>
      </c>
    </row>
    <row r="403" spans="1:9" x14ac:dyDescent="0.25">
      <c r="A403" t="s">
        <v>243</v>
      </c>
      <c r="B403" t="s">
        <v>243</v>
      </c>
      <c r="C403" s="9">
        <v>46246</v>
      </c>
      <c r="E403" t="s">
        <v>102</v>
      </c>
      <c r="F403">
        <v>83911276</v>
      </c>
      <c r="G403" t="s">
        <v>221</v>
      </c>
      <c r="H403" t="s">
        <v>222</v>
      </c>
      <c r="I403">
        <v>3</v>
      </c>
    </row>
    <row r="404" spans="1:9" x14ac:dyDescent="0.25">
      <c r="A404" t="s">
        <v>247</v>
      </c>
      <c r="B404" t="s">
        <v>247</v>
      </c>
      <c r="C404" s="9">
        <v>46246</v>
      </c>
      <c r="E404" t="s">
        <v>102</v>
      </c>
      <c r="F404">
        <v>83911276</v>
      </c>
      <c r="G404" t="s">
        <v>221</v>
      </c>
      <c r="H404" t="s">
        <v>222</v>
      </c>
      <c r="I404">
        <v>3</v>
      </c>
    </row>
    <row r="405" spans="1:9" x14ac:dyDescent="0.25">
      <c r="A405" t="s">
        <v>241</v>
      </c>
      <c r="B405" t="s">
        <v>241</v>
      </c>
      <c r="C405" s="9">
        <v>46246</v>
      </c>
      <c r="E405" t="s">
        <v>102</v>
      </c>
      <c r="F405">
        <v>83911276</v>
      </c>
      <c r="G405" t="s">
        <v>221</v>
      </c>
      <c r="H405" t="s">
        <v>222</v>
      </c>
      <c r="I405">
        <v>6</v>
      </c>
    </row>
    <row r="406" spans="1:9" x14ac:dyDescent="0.25">
      <c r="A406" t="s">
        <v>242</v>
      </c>
      <c r="B406" t="s">
        <v>242</v>
      </c>
      <c r="C406" s="9">
        <v>46246</v>
      </c>
      <c r="E406" t="s">
        <v>102</v>
      </c>
      <c r="F406">
        <v>83911276</v>
      </c>
      <c r="G406" t="s">
        <v>221</v>
      </c>
      <c r="H406" t="s">
        <v>222</v>
      </c>
      <c r="I406">
        <v>12</v>
      </c>
    </row>
    <row r="407" spans="1:9" x14ac:dyDescent="0.25">
      <c r="A407" t="s">
        <v>241</v>
      </c>
      <c r="B407" t="s">
        <v>241</v>
      </c>
      <c r="C407" s="9">
        <v>46246</v>
      </c>
      <c r="E407" t="s">
        <v>102</v>
      </c>
      <c r="F407">
        <v>83911270</v>
      </c>
      <c r="G407" t="s">
        <v>223</v>
      </c>
      <c r="H407" t="s">
        <v>224</v>
      </c>
      <c r="I407">
        <v>21</v>
      </c>
    </row>
    <row r="408" spans="1:9" x14ac:dyDescent="0.25">
      <c r="A408" t="s">
        <v>242</v>
      </c>
      <c r="B408" t="s">
        <v>242</v>
      </c>
      <c r="C408" s="9">
        <v>46246</v>
      </c>
      <c r="E408" t="s">
        <v>102</v>
      </c>
      <c r="F408">
        <v>83911270</v>
      </c>
      <c r="G408" t="s">
        <v>223</v>
      </c>
      <c r="H408" t="s">
        <v>224</v>
      </c>
      <c r="I408">
        <v>129</v>
      </c>
    </row>
    <row r="409" spans="1:9" x14ac:dyDescent="0.25">
      <c r="A409" t="s">
        <v>246</v>
      </c>
      <c r="B409" t="s">
        <v>246</v>
      </c>
      <c r="C409" s="9">
        <v>46246</v>
      </c>
      <c r="E409" t="s">
        <v>102</v>
      </c>
      <c r="F409">
        <v>83911270</v>
      </c>
      <c r="G409" t="s">
        <v>223</v>
      </c>
      <c r="H409" t="s">
        <v>224</v>
      </c>
      <c r="I409">
        <v>3</v>
      </c>
    </row>
    <row r="410" spans="1:9" x14ac:dyDescent="0.25">
      <c r="A410" t="s">
        <v>244</v>
      </c>
      <c r="B410" t="s">
        <v>244</v>
      </c>
      <c r="C410" s="9">
        <v>46246</v>
      </c>
      <c r="E410" t="s">
        <v>102</v>
      </c>
      <c r="F410">
        <v>83911270</v>
      </c>
      <c r="G410" t="s">
        <v>223</v>
      </c>
      <c r="H410" t="s">
        <v>224</v>
      </c>
      <c r="I410">
        <v>24</v>
      </c>
    </row>
    <row r="411" spans="1:9" x14ac:dyDescent="0.25">
      <c r="A411" t="s">
        <v>247</v>
      </c>
      <c r="B411" t="s">
        <v>247</v>
      </c>
      <c r="C411" s="9">
        <v>46246</v>
      </c>
      <c r="E411" t="s">
        <v>102</v>
      </c>
      <c r="F411">
        <v>83911270</v>
      </c>
      <c r="G411" t="s">
        <v>223</v>
      </c>
      <c r="H411" t="s">
        <v>224</v>
      </c>
      <c r="I411">
        <v>3</v>
      </c>
    </row>
    <row r="412" spans="1:9" x14ac:dyDescent="0.25">
      <c r="A412" t="s">
        <v>245</v>
      </c>
      <c r="B412" t="s">
        <v>245</v>
      </c>
      <c r="C412" s="9">
        <v>46246</v>
      </c>
      <c r="E412" t="s">
        <v>102</v>
      </c>
      <c r="F412">
        <v>83911270</v>
      </c>
      <c r="G412" t="s">
        <v>223</v>
      </c>
      <c r="H412" t="s">
        <v>224</v>
      </c>
      <c r="I412">
        <v>9</v>
      </c>
    </row>
    <row r="413" spans="1:9" x14ac:dyDescent="0.25">
      <c r="A413" t="s">
        <v>247</v>
      </c>
      <c r="B413" t="s">
        <v>247</v>
      </c>
      <c r="C413" s="9">
        <v>46246</v>
      </c>
      <c r="E413" t="s">
        <v>102</v>
      </c>
      <c r="F413">
        <v>83911281</v>
      </c>
      <c r="G413" t="s">
        <v>225</v>
      </c>
      <c r="H413" t="s">
        <v>226</v>
      </c>
      <c r="I413">
        <v>3</v>
      </c>
    </row>
    <row r="414" spans="1:9" x14ac:dyDescent="0.25">
      <c r="A414" t="s">
        <v>242</v>
      </c>
      <c r="B414" t="s">
        <v>242</v>
      </c>
      <c r="C414" s="9">
        <v>46246</v>
      </c>
      <c r="E414" t="s">
        <v>102</v>
      </c>
      <c r="F414">
        <v>83911281</v>
      </c>
      <c r="G414" t="s">
        <v>225</v>
      </c>
      <c r="H414" t="s">
        <v>226</v>
      </c>
      <c r="I414">
        <v>36</v>
      </c>
    </row>
    <row r="415" spans="1:9" x14ac:dyDescent="0.25">
      <c r="A415" t="s">
        <v>244</v>
      </c>
      <c r="B415" t="s">
        <v>244</v>
      </c>
      <c r="C415" s="9">
        <v>46246</v>
      </c>
      <c r="E415" t="s">
        <v>102</v>
      </c>
      <c r="F415">
        <v>83911281</v>
      </c>
      <c r="G415" t="s">
        <v>225</v>
      </c>
      <c r="H415" t="s">
        <v>226</v>
      </c>
      <c r="I415">
        <v>12</v>
      </c>
    </row>
    <row r="416" spans="1:9" x14ac:dyDescent="0.25">
      <c r="A416" t="s">
        <v>241</v>
      </c>
      <c r="B416" t="s">
        <v>241</v>
      </c>
      <c r="C416" s="9">
        <v>46246</v>
      </c>
      <c r="E416" t="s">
        <v>102</v>
      </c>
      <c r="F416">
        <v>83911281</v>
      </c>
      <c r="G416" t="s">
        <v>225</v>
      </c>
      <c r="H416" t="s">
        <v>226</v>
      </c>
      <c r="I416">
        <v>45</v>
      </c>
    </row>
    <row r="417" spans="1:9" x14ac:dyDescent="0.25">
      <c r="A417" t="s">
        <v>245</v>
      </c>
      <c r="B417" t="s">
        <v>245</v>
      </c>
      <c r="C417" s="9">
        <v>46246</v>
      </c>
      <c r="E417" t="s">
        <v>102</v>
      </c>
      <c r="F417">
        <v>83911281</v>
      </c>
      <c r="G417" t="s">
        <v>225</v>
      </c>
      <c r="H417" t="s">
        <v>226</v>
      </c>
      <c r="I417">
        <v>9</v>
      </c>
    </row>
    <row r="418" spans="1:9" x14ac:dyDescent="0.25">
      <c r="A418" t="s">
        <v>244</v>
      </c>
      <c r="B418" t="s">
        <v>244</v>
      </c>
      <c r="C418" s="9">
        <v>46246</v>
      </c>
      <c r="E418" t="s">
        <v>102</v>
      </c>
      <c r="F418">
        <v>80892904</v>
      </c>
      <c r="G418" t="s">
        <v>227</v>
      </c>
      <c r="H418" t="s">
        <v>228</v>
      </c>
      <c r="I418">
        <v>30</v>
      </c>
    </row>
    <row r="419" spans="1:9" x14ac:dyDescent="0.25">
      <c r="A419" t="s">
        <v>245</v>
      </c>
      <c r="B419" t="s">
        <v>245</v>
      </c>
      <c r="C419" s="9">
        <v>46246</v>
      </c>
      <c r="E419" t="s">
        <v>102</v>
      </c>
      <c r="F419">
        <v>80892904</v>
      </c>
      <c r="G419" t="s">
        <v>227</v>
      </c>
      <c r="H419" t="s">
        <v>228</v>
      </c>
      <c r="I419">
        <v>3</v>
      </c>
    </row>
    <row r="420" spans="1:9" x14ac:dyDescent="0.25">
      <c r="A420" t="s">
        <v>241</v>
      </c>
      <c r="B420" t="s">
        <v>241</v>
      </c>
      <c r="C420" s="9">
        <v>46246</v>
      </c>
      <c r="E420" t="s">
        <v>102</v>
      </c>
      <c r="F420">
        <v>80892904</v>
      </c>
      <c r="G420" t="s">
        <v>227</v>
      </c>
      <c r="H420" t="s">
        <v>228</v>
      </c>
      <c r="I420">
        <v>15</v>
      </c>
    </row>
    <row r="421" spans="1:9" x14ac:dyDescent="0.25">
      <c r="A421" t="s">
        <v>242</v>
      </c>
      <c r="B421" t="s">
        <v>242</v>
      </c>
      <c r="C421" s="9">
        <v>46246</v>
      </c>
      <c r="E421" t="s">
        <v>102</v>
      </c>
      <c r="F421">
        <v>80892904</v>
      </c>
      <c r="G421" t="s">
        <v>227</v>
      </c>
      <c r="H421" t="s">
        <v>228</v>
      </c>
      <c r="I421">
        <v>210</v>
      </c>
    </row>
    <row r="422" spans="1:9" x14ac:dyDescent="0.25">
      <c r="A422" t="s">
        <v>243</v>
      </c>
      <c r="B422" t="s">
        <v>243</v>
      </c>
      <c r="C422" s="9">
        <v>46246</v>
      </c>
      <c r="E422" t="s">
        <v>102</v>
      </c>
      <c r="F422">
        <v>80892904</v>
      </c>
      <c r="G422" t="s">
        <v>227</v>
      </c>
      <c r="H422" t="s">
        <v>228</v>
      </c>
      <c r="I422">
        <v>3</v>
      </c>
    </row>
    <row r="423" spans="1:9" x14ac:dyDescent="0.25">
      <c r="A423" t="s">
        <v>246</v>
      </c>
      <c r="B423" t="s">
        <v>246</v>
      </c>
      <c r="C423" s="9">
        <v>46246</v>
      </c>
      <c r="E423" t="s">
        <v>102</v>
      </c>
      <c r="F423">
        <v>80892904</v>
      </c>
      <c r="G423" t="s">
        <v>227</v>
      </c>
      <c r="H423" t="s">
        <v>228</v>
      </c>
      <c r="I423">
        <v>6</v>
      </c>
    </row>
    <row r="424" spans="1:9" x14ac:dyDescent="0.25">
      <c r="A424" t="s">
        <v>247</v>
      </c>
      <c r="B424" t="s">
        <v>247</v>
      </c>
      <c r="C424" s="9">
        <v>46246</v>
      </c>
      <c r="E424" t="s">
        <v>102</v>
      </c>
      <c r="F424">
        <v>80892904</v>
      </c>
      <c r="G424" t="s">
        <v>227</v>
      </c>
      <c r="H424" t="s">
        <v>228</v>
      </c>
      <c r="I424">
        <v>15</v>
      </c>
    </row>
    <row r="425" spans="1:9" x14ac:dyDescent="0.25">
      <c r="A425" t="s">
        <v>241</v>
      </c>
      <c r="B425" t="s">
        <v>241</v>
      </c>
      <c r="C425" s="9">
        <v>46246</v>
      </c>
      <c r="E425" t="s">
        <v>102</v>
      </c>
      <c r="F425">
        <v>83911280</v>
      </c>
      <c r="G425" t="s">
        <v>229</v>
      </c>
      <c r="H425" t="s">
        <v>230</v>
      </c>
      <c r="I425">
        <v>12</v>
      </c>
    </row>
    <row r="426" spans="1:9" x14ac:dyDescent="0.25">
      <c r="A426" t="s">
        <v>245</v>
      </c>
      <c r="B426" t="s">
        <v>245</v>
      </c>
      <c r="C426" s="9">
        <v>46246</v>
      </c>
      <c r="E426" t="s">
        <v>102</v>
      </c>
      <c r="F426">
        <v>83911280</v>
      </c>
      <c r="G426" t="s">
        <v>229</v>
      </c>
      <c r="H426" t="s">
        <v>230</v>
      </c>
      <c r="I426">
        <v>3</v>
      </c>
    </row>
    <row r="427" spans="1:9" x14ac:dyDescent="0.25">
      <c r="A427" t="s">
        <v>242</v>
      </c>
      <c r="B427" t="s">
        <v>242</v>
      </c>
      <c r="C427" s="9">
        <v>46246</v>
      </c>
      <c r="E427" t="s">
        <v>102</v>
      </c>
      <c r="F427">
        <v>83911280</v>
      </c>
      <c r="G427" t="s">
        <v>229</v>
      </c>
      <c r="H427" t="s">
        <v>230</v>
      </c>
      <c r="I427">
        <v>108</v>
      </c>
    </row>
    <row r="428" spans="1:9" x14ac:dyDescent="0.25">
      <c r="A428" t="s">
        <v>244</v>
      </c>
      <c r="B428" t="s">
        <v>244</v>
      </c>
      <c r="C428" s="9">
        <v>46246</v>
      </c>
      <c r="E428" t="s">
        <v>102</v>
      </c>
      <c r="F428">
        <v>83911280</v>
      </c>
      <c r="G428" t="s">
        <v>229</v>
      </c>
      <c r="H428" t="s">
        <v>230</v>
      </c>
      <c r="I428">
        <v>15</v>
      </c>
    </row>
    <row r="429" spans="1:9" x14ac:dyDescent="0.25">
      <c r="A429" t="s">
        <v>247</v>
      </c>
      <c r="B429" t="s">
        <v>247</v>
      </c>
      <c r="C429" s="9">
        <v>46246</v>
      </c>
      <c r="E429" t="s">
        <v>102</v>
      </c>
      <c r="F429">
        <v>83911280</v>
      </c>
      <c r="G429" t="s">
        <v>229</v>
      </c>
      <c r="H429" t="s">
        <v>230</v>
      </c>
      <c r="I429">
        <v>6</v>
      </c>
    </row>
    <row r="430" spans="1:9" x14ac:dyDescent="0.25">
      <c r="A430" t="s">
        <v>244</v>
      </c>
      <c r="B430" t="s">
        <v>244</v>
      </c>
      <c r="C430" s="9">
        <v>46246</v>
      </c>
      <c r="E430" t="s">
        <v>102</v>
      </c>
      <c r="F430">
        <v>80879269</v>
      </c>
      <c r="G430" t="s">
        <v>231</v>
      </c>
      <c r="H430" t="s">
        <v>232</v>
      </c>
      <c r="I430">
        <v>3</v>
      </c>
    </row>
    <row r="431" spans="1:9" x14ac:dyDescent="0.25">
      <c r="A431" t="s">
        <v>241</v>
      </c>
      <c r="B431" t="s">
        <v>241</v>
      </c>
      <c r="C431" s="9">
        <v>46246</v>
      </c>
      <c r="E431" t="s">
        <v>102</v>
      </c>
      <c r="F431">
        <v>80879269</v>
      </c>
      <c r="G431" t="s">
        <v>231</v>
      </c>
      <c r="H431" t="s">
        <v>232</v>
      </c>
      <c r="I431">
        <v>6</v>
      </c>
    </row>
    <row r="432" spans="1:9" x14ac:dyDescent="0.25">
      <c r="A432" t="s">
        <v>242</v>
      </c>
      <c r="B432" t="s">
        <v>242</v>
      </c>
      <c r="C432" s="9">
        <v>46246</v>
      </c>
      <c r="E432" t="s">
        <v>102</v>
      </c>
      <c r="F432">
        <v>80879269</v>
      </c>
      <c r="G432" t="s">
        <v>231</v>
      </c>
      <c r="H432" t="s">
        <v>232</v>
      </c>
      <c r="I432">
        <v>9</v>
      </c>
    </row>
    <row r="433" spans="1:9" x14ac:dyDescent="0.25">
      <c r="A433" t="s">
        <v>245</v>
      </c>
      <c r="B433" t="s">
        <v>245</v>
      </c>
      <c r="C433" s="9">
        <v>46246</v>
      </c>
      <c r="E433" t="s">
        <v>102</v>
      </c>
      <c r="F433">
        <v>80879273</v>
      </c>
      <c r="G433" t="s">
        <v>233</v>
      </c>
      <c r="H433" t="s">
        <v>234</v>
      </c>
      <c r="I433">
        <v>3</v>
      </c>
    </row>
    <row r="434" spans="1:9" x14ac:dyDescent="0.25">
      <c r="A434" t="s">
        <v>242</v>
      </c>
      <c r="B434" t="s">
        <v>242</v>
      </c>
      <c r="C434" s="9">
        <v>46246</v>
      </c>
      <c r="E434" t="s">
        <v>102</v>
      </c>
      <c r="F434">
        <v>80879273</v>
      </c>
      <c r="G434" t="s">
        <v>233</v>
      </c>
      <c r="H434" t="s">
        <v>234</v>
      </c>
      <c r="I434">
        <v>42</v>
      </c>
    </row>
    <row r="435" spans="1:9" x14ac:dyDescent="0.25">
      <c r="A435" t="s">
        <v>244</v>
      </c>
      <c r="B435" t="s">
        <v>244</v>
      </c>
      <c r="C435" s="9">
        <v>46246</v>
      </c>
      <c r="E435" t="s">
        <v>102</v>
      </c>
      <c r="F435">
        <v>80879273</v>
      </c>
      <c r="G435" t="s">
        <v>233</v>
      </c>
      <c r="H435" t="s">
        <v>234</v>
      </c>
      <c r="I435">
        <v>15</v>
      </c>
    </row>
    <row r="436" spans="1:9" x14ac:dyDescent="0.25">
      <c r="A436" t="s">
        <v>243</v>
      </c>
      <c r="B436" t="s">
        <v>243</v>
      </c>
      <c r="C436" s="9">
        <v>46246</v>
      </c>
      <c r="E436" t="s">
        <v>102</v>
      </c>
      <c r="F436">
        <v>80879273</v>
      </c>
      <c r="G436" t="s">
        <v>233</v>
      </c>
      <c r="H436" t="s">
        <v>234</v>
      </c>
      <c r="I436">
        <v>6</v>
      </c>
    </row>
    <row r="437" spans="1:9" x14ac:dyDescent="0.25">
      <c r="A437" t="s">
        <v>247</v>
      </c>
      <c r="B437" t="s">
        <v>247</v>
      </c>
      <c r="C437" s="9">
        <v>46246</v>
      </c>
      <c r="E437" t="s">
        <v>102</v>
      </c>
      <c r="F437">
        <v>80879273</v>
      </c>
      <c r="G437" t="s">
        <v>233</v>
      </c>
      <c r="H437" t="s">
        <v>234</v>
      </c>
      <c r="I437">
        <v>6</v>
      </c>
    </row>
    <row r="438" spans="1:9" x14ac:dyDescent="0.25">
      <c r="A438" t="s">
        <v>246</v>
      </c>
      <c r="B438" t="s">
        <v>246</v>
      </c>
      <c r="C438" s="9">
        <v>46246</v>
      </c>
      <c r="E438" t="s">
        <v>102</v>
      </c>
      <c r="F438">
        <v>80879273</v>
      </c>
      <c r="G438" t="s">
        <v>233</v>
      </c>
      <c r="H438" t="s">
        <v>234</v>
      </c>
      <c r="I438">
        <v>3</v>
      </c>
    </row>
    <row r="439" spans="1:9" x14ac:dyDescent="0.25">
      <c r="A439" t="s">
        <v>241</v>
      </c>
      <c r="B439" t="s">
        <v>241</v>
      </c>
      <c r="C439" s="9">
        <v>46246</v>
      </c>
      <c r="E439" t="s">
        <v>102</v>
      </c>
      <c r="F439">
        <v>80879273</v>
      </c>
      <c r="G439" t="s">
        <v>233</v>
      </c>
      <c r="H439" t="s">
        <v>234</v>
      </c>
      <c r="I439">
        <v>27</v>
      </c>
    </row>
    <row r="440" spans="1:9" x14ac:dyDescent="0.25">
      <c r="A440" t="s">
        <v>242</v>
      </c>
      <c r="B440" t="s">
        <v>242</v>
      </c>
      <c r="C440" s="9">
        <v>46246</v>
      </c>
      <c r="E440" t="s">
        <v>102</v>
      </c>
      <c r="F440">
        <v>80879272</v>
      </c>
      <c r="G440" t="s">
        <v>298</v>
      </c>
      <c r="H440" t="s">
        <v>299</v>
      </c>
      <c r="I440">
        <v>3</v>
      </c>
    </row>
    <row r="441" spans="1:9" x14ac:dyDescent="0.25">
      <c r="A441" t="s">
        <v>242</v>
      </c>
      <c r="B441" t="s">
        <v>242</v>
      </c>
      <c r="C441" s="9">
        <v>46246</v>
      </c>
      <c r="E441" t="s">
        <v>102</v>
      </c>
      <c r="F441">
        <v>80830098</v>
      </c>
      <c r="G441" t="s">
        <v>300</v>
      </c>
      <c r="H441" t="s">
        <v>301</v>
      </c>
      <c r="I441">
        <v>1</v>
      </c>
    </row>
    <row r="442" spans="1:9" x14ac:dyDescent="0.25">
      <c r="A442" t="s">
        <v>245</v>
      </c>
      <c r="B442" t="s">
        <v>245</v>
      </c>
      <c r="C442" s="9">
        <v>46246</v>
      </c>
      <c r="E442" t="s">
        <v>102</v>
      </c>
      <c r="F442">
        <v>80830097</v>
      </c>
      <c r="G442" t="s">
        <v>237</v>
      </c>
      <c r="H442" t="s">
        <v>238</v>
      </c>
      <c r="I442">
        <v>1</v>
      </c>
    </row>
    <row r="443" spans="1:9" x14ac:dyDescent="0.25">
      <c r="A443" t="s">
        <v>241</v>
      </c>
      <c r="B443" t="s">
        <v>241</v>
      </c>
      <c r="C443" s="9">
        <v>46246</v>
      </c>
      <c r="E443" t="s">
        <v>102</v>
      </c>
      <c r="F443">
        <v>80830097</v>
      </c>
      <c r="G443" t="s">
        <v>237</v>
      </c>
      <c r="H443" t="s">
        <v>238</v>
      </c>
      <c r="I443">
        <v>3</v>
      </c>
    </row>
    <row r="444" spans="1:9" x14ac:dyDescent="0.25">
      <c r="A444" t="s">
        <v>245</v>
      </c>
      <c r="B444" t="s">
        <v>245</v>
      </c>
      <c r="C444" s="9">
        <v>46246</v>
      </c>
      <c r="E444" t="s">
        <v>102</v>
      </c>
      <c r="F444">
        <v>80878182</v>
      </c>
      <c r="G444" t="s">
        <v>239</v>
      </c>
      <c r="H444" t="s">
        <v>240</v>
      </c>
      <c r="I444">
        <v>6</v>
      </c>
    </row>
    <row r="445" spans="1:9" x14ac:dyDescent="0.25">
      <c r="A445" t="s">
        <v>242</v>
      </c>
      <c r="B445" t="s">
        <v>242</v>
      </c>
      <c r="C445" s="9">
        <v>46246</v>
      </c>
      <c r="E445" t="s">
        <v>102</v>
      </c>
      <c r="F445">
        <v>80878182</v>
      </c>
      <c r="G445" t="s">
        <v>239</v>
      </c>
      <c r="H445" t="s">
        <v>240</v>
      </c>
      <c r="I445">
        <v>20</v>
      </c>
    </row>
    <row r="446" spans="1:9" x14ac:dyDescent="0.25">
      <c r="A446" t="s">
        <v>244</v>
      </c>
      <c r="B446" t="s">
        <v>244</v>
      </c>
      <c r="C446" s="9">
        <v>46246</v>
      </c>
      <c r="E446" t="s">
        <v>102</v>
      </c>
      <c r="F446">
        <v>80878182</v>
      </c>
      <c r="G446" t="s">
        <v>239</v>
      </c>
      <c r="H446" t="s">
        <v>240</v>
      </c>
      <c r="I446">
        <v>4</v>
      </c>
    </row>
    <row r="447" spans="1:9" x14ac:dyDescent="0.25">
      <c r="A447" t="s">
        <v>241</v>
      </c>
      <c r="B447" t="s">
        <v>241</v>
      </c>
      <c r="C447" s="9">
        <v>46246</v>
      </c>
      <c r="E447" t="s">
        <v>102</v>
      </c>
      <c r="F447">
        <v>80878182</v>
      </c>
      <c r="G447" t="s">
        <v>239</v>
      </c>
      <c r="H447" t="s">
        <v>240</v>
      </c>
      <c r="I447">
        <v>10</v>
      </c>
    </row>
  </sheetData>
  <autoFilter ref="A1:I44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workbookViewId="0">
      <selection activeCell="C7" sqref="C7"/>
    </sheetView>
  </sheetViews>
  <sheetFormatPr defaultRowHeight="15" x14ac:dyDescent="0.25"/>
  <cols>
    <col min="2" max="2" width="40" customWidth="1"/>
    <col min="8" max="8" width="21.7109375" customWidth="1"/>
  </cols>
  <sheetData>
    <row r="1" spans="1:13" x14ac:dyDescent="0.25">
      <c r="H1" t="s">
        <v>414</v>
      </c>
      <c r="I1" s="8" t="s">
        <v>410</v>
      </c>
      <c r="J1" s="8" t="s">
        <v>411</v>
      </c>
      <c r="K1" s="8" t="s">
        <v>412</v>
      </c>
    </row>
    <row r="2" spans="1:13" x14ac:dyDescent="0.25">
      <c r="A2" t="s">
        <v>414</v>
      </c>
      <c r="B2" s="1" t="s">
        <v>98</v>
      </c>
      <c r="C2" s="1" t="s">
        <v>99</v>
      </c>
      <c r="D2" s="63" t="s">
        <v>302</v>
      </c>
      <c r="H2" t="str">
        <f>VLOOKUP(I2,CHOOSE({1,2},([1]IRA!$D$4:$D$285),[1]IRA!$C$4:$C$285),2,FALSE)</f>
        <v>Cream GIL Lime 93gm</v>
      </c>
      <c r="I2" s="8">
        <v>80862826</v>
      </c>
      <c r="J2" s="8">
        <v>6</v>
      </c>
      <c r="K2" s="8">
        <f t="shared" ref="K2:K33" si="0">IFERROR(VLOOKUP(H2,$A$2:$D$99,4,FALSE),0)</f>
        <v>6</v>
      </c>
      <c r="L2">
        <f>J2-K2</f>
        <v>0</v>
      </c>
      <c r="M2" t="b">
        <f>IFERROR(L2=0,"CHECK")</f>
        <v>1</v>
      </c>
    </row>
    <row r="3" spans="1:13" x14ac:dyDescent="0.25">
      <c r="A3" t="str">
        <f>VLOOKUP(C3,PSR!$F$1:$G$447,2,FALSE)</f>
        <v>Simply Venus 3s Disp</v>
      </c>
      <c r="B3" s="1" t="s">
        <v>104</v>
      </c>
      <c r="C3" s="1">
        <v>80864296</v>
      </c>
      <c r="D3" s="62">
        <f>SUMIF(PSR!$G$2:$G$447,Sheet3!A3,PSR!$I$2:$I$447)</f>
        <v>24</v>
      </c>
      <c r="H3" s="1" t="str">
        <f>VLOOKUP(I3,CHOOSE({1,2},([1]IRA!$D$4:$D$285),[1]IRA!$C$4:$C$285),2,FALSE)</f>
        <v>AS SPLSH (RB) 50ML</v>
      </c>
      <c r="I3" s="8">
        <v>80865298</v>
      </c>
      <c r="J3" s="8">
        <v>2</v>
      </c>
      <c r="K3" s="8">
        <f t="shared" si="0"/>
        <v>2</v>
      </c>
      <c r="L3" s="1">
        <f t="shared" ref="L3:L66" si="1">J3-K3</f>
        <v>0</v>
      </c>
      <c r="M3" s="1" t="b">
        <f t="shared" ref="M3:M66" si="2">IFERROR(L3=0,"CHECK")</f>
        <v>1</v>
      </c>
    </row>
    <row r="4" spans="1:13" x14ac:dyDescent="0.25">
      <c r="A4" s="1" t="str">
        <f>VLOOKUP(C4,PSR!$F$1:$G$447,2,FALSE)</f>
        <v>Venus Breeze Cart 2s</v>
      </c>
      <c r="B4" s="1" t="s">
        <v>106</v>
      </c>
      <c r="C4" s="1">
        <v>80840352</v>
      </c>
      <c r="D4" s="62">
        <f>SUMIF(PSR!$G$2:$G$447,Sheet3!A4,PSR!$I$2:$I$447)</f>
        <v>25</v>
      </c>
      <c r="H4" s="1" t="str">
        <f>VLOOKUP(I4,CHOOSE({1,2},([1]IRA!$D$4:$D$285),[1]IRA!$C$4:$C$285),2,FALSE)</f>
        <v>Guard R+8 Promo Pack</v>
      </c>
      <c r="I4" s="8">
        <v>83904003</v>
      </c>
      <c r="J4" s="8">
        <v>152</v>
      </c>
      <c r="K4" s="8">
        <f t="shared" si="0"/>
        <v>152</v>
      </c>
      <c r="L4" s="1">
        <f t="shared" si="1"/>
        <v>0</v>
      </c>
      <c r="M4" s="1" t="b">
        <f t="shared" si="2"/>
        <v>1</v>
      </c>
    </row>
    <row r="5" spans="1:13" x14ac:dyDescent="0.25">
      <c r="A5" s="1" t="str">
        <f>VLOOKUP(C5,PSR!$F$1:$G$447,2,FALSE)</f>
        <v>Venus Cart 2s</v>
      </c>
      <c r="B5" s="1" t="s">
        <v>109</v>
      </c>
      <c r="C5" s="1">
        <v>80832389</v>
      </c>
      <c r="D5" s="62">
        <f>SUMIF(PSR!$G$2:$G$447,Sheet3!A5,PSR!$I$2:$I$447)</f>
        <v>8</v>
      </c>
      <c r="H5" s="1" t="str">
        <f>VLOOKUP(I5,CHOOSE({1,2},([1]IRA!$D$4:$D$285),[1]IRA!$C$4:$C$285),2,FALSE)</f>
        <v>Foam (Reg) 50gm</v>
      </c>
      <c r="I5" s="8">
        <v>80866726</v>
      </c>
      <c r="J5" s="8">
        <v>18</v>
      </c>
      <c r="K5" s="8">
        <f t="shared" si="0"/>
        <v>18</v>
      </c>
      <c r="L5" s="1">
        <f t="shared" si="1"/>
        <v>0</v>
      </c>
      <c r="M5" s="1" t="b">
        <f t="shared" si="2"/>
        <v>1</v>
      </c>
    </row>
    <row r="6" spans="1:13" x14ac:dyDescent="0.25">
      <c r="A6" s="1" t="str">
        <f>VLOOKUP(C6,PSR!$F$1:$G$447,2,FALSE)</f>
        <v>VENUS BIKINI SENSITIVE 1S</v>
      </c>
      <c r="B6" s="1" t="s">
        <v>111</v>
      </c>
      <c r="C6" s="1">
        <v>80875513</v>
      </c>
      <c r="D6" s="62">
        <f>SUMIF(PSR!$G$2:$G$447,Sheet3!A6,PSR!$I$2:$I$447)</f>
        <v>56</v>
      </c>
      <c r="H6" s="1" t="str">
        <f>VLOOKUP(I6,CHOOSE({1,2},([1]IRA!$D$4:$D$285),[1]IRA!$C$4:$C$285),2,FALSE)</f>
        <v>Fusion Power Raz</v>
      </c>
      <c r="I6" s="8">
        <v>80797472</v>
      </c>
      <c r="J6" s="8">
        <v>1</v>
      </c>
      <c r="K6" s="8">
        <f t="shared" si="0"/>
        <v>1</v>
      </c>
      <c r="L6" s="1">
        <f t="shared" si="1"/>
        <v>0</v>
      </c>
      <c r="M6" s="1" t="b">
        <f t="shared" si="2"/>
        <v>1</v>
      </c>
    </row>
    <row r="7" spans="1:13" x14ac:dyDescent="0.25">
      <c r="A7" s="1" t="str">
        <f>VLOOKUP(C7,PSR!$F$1:$G$447,2,FALSE)</f>
        <v>Venus Skin Love 1s</v>
      </c>
      <c r="B7" s="1" t="s">
        <v>113</v>
      </c>
      <c r="C7" s="1">
        <v>80864297</v>
      </c>
      <c r="D7" s="62">
        <f>SUMIF(PSR!$G$2:$G$447,Sheet3!A7,PSR!$I$2:$I$447)</f>
        <v>629</v>
      </c>
      <c r="H7" s="1" t="str">
        <f>VLOOKUP(I7,CHOOSE({1,2},([1]IRA!$D$4:$D$285),[1]IRA!$C$4:$C$285),2,FALSE)</f>
        <v>Fusion Raz</v>
      </c>
      <c r="I7" s="8">
        <v>80797470</v>
      </c>
      <c r="J7" s="8">
        <v>3</v>
      </c>
      <c r="K7" s="8">
        <f t="shared" si="0"/>
        <v>3</v>
      </c>
      <c r="L7" s="1">
        <f t="shared" si="1"/>
        <v>0</v>
      </c>
      <c r="M7" s="1" t="b">
        <f t="shared" si="2"/>
        <v>1</v>
      </c>
    </row>
    <row r="8" spans="1:13" x14ac:dyDescent="0.25">
      <c r="A8" s="1" t="str">
        <f>VLOOKUP(C8,PSR!$F$1:$G$447,2,FALSE)</f>
        <v>Venus Breeze Razor</v>
      </c>
      <c r="B8" s="1" t="s">
        <v>115</v>
      </c>
      <c r="C8" s="1">
        <v>80840354</v>
      </c>
      <c r="D8" s="62">
        <f>SUMIF(PSR!$G$2:$G$447,Sheet3!A8,PSR!$I$2:$I$447)</f>
        <v>50</v>
      </c>
      <c r="H8" s="1" t="str">
        <f>VLOOKUP(I8,CHOOSE({1,2},([1]IRA!$D$4:$D$285),[1]IRA!$C$4:$C$285),2,FALSE)</f>
        <v>Guard 3in1 Cart 2s</v>
      </c>
      <c r="I8" s="8">
        <v>80867316</v>
      </c>
      <c r="J8" s="8">
        <v>18</v>
      </c>
      <c r="K8" s="8">
        <f t="shared" si="0"/>
        <v>18</v>
      </c>
      <c r="L8" s="1">
        <f t="shared" si="1"/>
        <v>0</v>
      </c>
      <c r="M8" s="1" t="b">
        <f t="shared" si="2"/>
        <v>1</v>
      </c>
    </row>
    <row r="9" spans="1:13" x14ac:dyDescent="0.25">
      <c r="A9" s="1" t="str">
        <f>VLOOKUP(C9,PSR!$F$1:$G$447,2,FALSE)</f>
        <v>Venus Razor</v>
      </c>
      <c r="B9" s="1" t="s">
        <v>117</v>
      </c>
      <c r="C9" s="1">
        <v>80832398</v>
      </c>
      <c r="D9" s="62">
        <f>SUMIF(PSR!$G$2:$G$447,Sheet3!A9,PSR!$I$2:$I$447)</f>
        <v>30</v>
      </c>
      <c r="H9" s="1" t="str">
        <f>VLOOKUP(I9,CHOOSE({1,2},([1]IRA!$D$4:$D$285),[1]IRA!$C$4:$C$285),2,FALSE)</f>
        <v>Guard Cream 125 gm</v>
      </c>
      <c r="I9" s="8">
        <v>80896468</v>
      </c>
      <c r="J9" s="8">
        <v>60</v>
      </c>
      <c r="K9" s="8">
        <f t="shared" si="0"/>
        <v>60</v>
      </c>
      <c r="L9" s="1">
        <f t="shared" si="1"/>
        <v>0</v>
      </c>
      <c r="M9" s="1" t="b">
        <f t="shared" si="2"/>
        <v>1</v>
      </c>
    </row>
    <row r="10" spans="1:13" x14ac:dyDescent="0.25">
      <c r="A10" s="1" t="str">
        <f>VLOOKUP(C10,PSR!$F$1:$G$447,2,FALSE)</f>
        <v>Venus Snap 1UP</v>
      </c>
      <c r="B10" s="1" t="s">
        <v>119</v>
      </c>
      <c r="C10" s="1">
        <v>80832394</v>
      </c>
      <c r="D10" s="62">
        <f>SUMIF(PSR!$G$2:$G$447,Sheet3!A10,PSR!$I$2:$I$447)</f>
        <v>13</v>
      </c>
      <c r="H10" s="1" t="str">
        <f>VLOOKUP(I10,CHOOSE({1,2},([1]IRA!$D$4:$D$285),[1]IRA!$C$4:$C$285),2,FALSE)</f>
        <v>Mach 3 Cart 2s</v>
      </c>
      <c r="I10" s="8">
        <v>80876082</v>
      </c>
      <c r="J10" s="8">
        <v>14</v>
      </c>
      <c r="K10" s="8">
        <f t="shared" si="0"/>
        <v>14</v>
      </c>
      <c r="L10" s="1">
        <f t="shared" si="1"/>
        <v>0</v>
      </c>
      <c r="M10" s="1" t="b">
        <f t="shared" si="2"/>
        <v>1</v>
      </c>
    </row>
    <row r="11" spans="1:13" x14ac:dyDescent="0.25">
      <c r="A11" s="1" t="str">
        <f>VLOOKUP(C11,PSR!$F$1:$G$447,2,FALSE)</f>
        <v>Guard 3in1 Cart 2s</v>
      </c>
      <c r="B11" s="1" t="s">
        <v>121</v>
      </c>
      <c r="C11" s="1">
        <v>80867316</v>
      </c>
      <c r="D11" s="62">
        <f>SUMIF(PSR!$G$2:$G$447,Sheet3!A11,PSR!$I$2:$I$447)</f>
        <v>18</v>
      </c>
      <c r="H11" s="1" t="str">
        <f>VLOOKUP(I11,CHOOSE({1,2},([1]IRA!$D$4:$D$285),[1]IRA!$C$4:$C$285),2,FALSE)</f>
        <v>Mach-3 Charcoal Rzr</v>
      </c>
      <c r="I11" s="8">
        <v>80803710</v>
      </c>
      <c r="J11" s="8">
        <v>4</v>
      </c>
      <c r="K11" s="8">
        <f t="shared" si="0"/>
        <v>4</v>
      </c>
      <c r="L11" s="1">
        <f t="shared" si="1"/>
        <v>0</v>
      </c>
      <c r="M11" s="1" t="b">
        <f t="shared" si="2"/>
        <v>1</v>
      </c>
    </row>
    <row r="12" spans="1:13" x14ac:dyDescent="0.25">
      <c r="A12" s="1" t="str">
        <f>VLOOKUP(C12,PSR!$F$1:$G$447,2,FALSE)</f>
        <v>Guard R+8 Promo Pack</v>
      </c>
      <c r="B12" s="1" t="s">
        <v>123</v>
      </c>
      <c r="C12" s="1">
        <v>83904003</v>
      </c>
      <c r="D12" s="62">
        <f>SUMIF(PSR!$G$2:$G$447,Sheet3!A12,PSR!$I$2:$I$447)</f>
        <v>152</v>
      </c>
      <c r="H12" s="1" t="str">
        <f>VLOOKUP(I12,CHOOSE({1,2},([1]IRA!$D$4:$D$285),[1]IRA!$C$4:$C$285),2,FALSE)</f>
        <v>Cream GIL Reg 93gm</v>
      </c>
      <c r="I12" s="8">
        <v>80862828</v>
      </c>
      <c r="J12" s="8">
        <v>9</v>
      </c>
      <c r="K12" s="8">
        <f t="shared" si="0"/>
        <v>9</v>
      </c>
      <c r="L12" s="1">
        <f t="shared" si="1"/>
        <v>0</v>
      </c>
      <c r="M12" s="1" t="b">
        <f t="shared" si="2"/>
        <v>1</v>
      </c>
    </row>
    <row r="13" spans="1:13" x14ac:dyDescent="0.25">
      <c r="A13" s="1" t="str">
        <f>VLOOKUP(C13,PSR!$F$1:$G$447,2,FALSE)</f>
        <v>Mach 3 Cart 2s</v>
      </c>
      <c r="B13" s="1" t="s">
        <v>125</v>
      </c>
      <c r="C13" s="1">
        <v>80876082</v>
      </c>
      <c r="D13" s="62">
        <f>SUMIF(PSR!$G$2:$G$447,Sheet3!A13,PSR!$I$2:$I$447)</f>
        <v>14</v>
      </c>
      <c r="H13" s="1" t="str">
        <f>VLOOKUP(I13,CHOOSE({1,2},([1]IRA!$D$4:$D$285),[1]IRA!$C$4:$C$285),2,FALSE)</f>
        <v>TSG (Sen) 60g</v>
      </c>
      <c r="I13" s="8">
        <v>80753181</v>
      </c>
      <c r="J13" s="8">
        <v>3</v>
      </c>
      <c r="K13" s="8">
        <f t="shared" si="0"/>
        <v>3</v>
      </c>
      <c r="L13" s="1">
        <f t="shared" si="1"/>
        <v>0</v>
      </c>
      <c r="M13" s="1" t="b">
        <f t="shared" si="2"/>
        <v>1</v>
      </c>
    </row>
    <row r="14" spans="1:13" x14ac:dyDescent="0.25">
      <c r="A14" s="1" t="str">
        <f>VLOOKUP(C14,PSR!$F$1:$G$447,2,FALSE)</f>
        <v>Mach-3 Charcoal Rzr</v>
      </c>
      <c r="B14" s="1" t="s">
        <v>127</v>
      </c>
      <c r="C14" s="1">
        <v>80803710</v>
      </c>
      <c r="D14" s="62">
        <f>SUMIF(PSR!$G$2:$G$447,Sheet3!A14,PSR!$I$2:$I$447)</f>
        <v>4</v>
      </c>
      <c r="H14" s="1" t="str">
        <f>VLOOKUP(I14,CHOOSE({1,2},([1]IRA!$D$4:$D$285),[1]IRA!$C$4:$C$285),2,FALSE)</f>
        <v>Foam (Reg) 200ml</v>
      </c>
      <c r="I14" s="8">
        <v>80866724</v>
      </c>
      <c r="J14" s="8">
        <v>1</v>
      </c>
      <c r="K14" s="8">
        <f t="shared" si="0"/>
        <v>1</v>
      </c>
      <c r="L14" s="1">
        <f t="shared" si="1"/>
        <v>0</v>
      </c>
      <c r="M14" s="1" t="b">
        <f t="shared" si="2"/>
        <v>1</v>
      </c>
    </row>
    <row r="15" spans="1:13" x14ac:dyDescent="0.25">
      <c r="A15" s="1" t="str">
        <f>VLOOKUP(C15,PSR!$F$1:$G$447,2,FALSE)</f>
        <v>Vector 2s</v>
      </c>
      <c r="B15" s="1" t="s">
        <v>129</v>
      </c>
      <c r="C15" s="1">
        <v>80864300</v>
      </c>
      <c r="D15" s="62">
        <f>SUMIF(PSR!$G$2:$G$447,Sheet3!A15,PSR!$I$2:$I$447)</f>
        <v>58</v>
      </c>
      <c r="H15" s="1" t="str">
        <f>VLOOKUP(I15,CHOOSE({1,2},([1]IRA!$D$4:$D$285),[1]IRA!$C$4:$C$285),2,FALSE)</f>
        <v>Fat Foamy (Sen) 300gm</v>
      </c>
      <c r="I15" s="8">
        <v>80866723</v>
      </c>
      <c r="J15" s="8">
        <v>158</v>
      </c>
      <c r="K15" s="8">
        <f t="shared" si="0"/>
        <v>158</v>
      </c>
      <c r="L15" s="1">
        <f t="shared" si="1"/>
        <v>0</v>
      </c>
      <c r="M15" s="1" t="b">
        <f t="shared" si="2"/>
        <v>1</v>
      </c>
    </row>
    <row r="16" spans="1:13" x14ac:dyDescent="0.25">
      <c r="A16" s="1" t="str">
        <f>VLOOKUP(C16,PSR!$F$1:$G$447,2,FALSE)</f>
        <v>Vector Rzr</v>
      </c>
      <c r="B16" s="1" t="s">
        <v>131</v>
      </c>
      <c r="C16" s="1">
        <v>80875507</v>
      </c>
      <c r="D16" s="62">
        <f>SUMIF(PSR!$G$2:$G$447,Sheet3!A16,PSR!$I$2:$I$447)</f>
        <v>14</v>
      </c>
      <c r="H16" s="1" t="str">
        <f>VLOOKUP(I16,CHOOSE({1,2},([1]IRA!$D$4:$D$285),[1]IRA!$C$4:$C$285),2,FALSE)</f>
        <v>Fat Foamy (Reg) 300gm</v>
      </c>
      <c r="I16" s="8">
        <v>80866729</v>
      </c>
      <c r="J16" s="8">
        <v>284</v>
      </c>
      <c r="K16" s="8">
        <f t="shared" si="0"/>
        <v>284</v>
      </c>
      <c r="L16" s="1">
        <f t="shared" si="1"/>
        <v>0</v>
      </c>
      <c r="M16" s="1" t="b">
        <f t="shared" si="2"/>
        <v>1</v>
      </c>
    </row>
    <row r="17" spans="1:13" x14ac:dyDescent="0.25">
      <c r="A17" s="1" t="str">
        <f>VLOOKUP(C17,PSR!$F$1:$G$447,2,FALSE)</f>
        <v>Vector3 Rzr</v>
      </c>
      <c r="B17" s="1" t="s">
        <v>133</v>
      </c>
      <c r="C17" s="1">
        <v>80818341</v>
      </c>
      <c r="D17" s="62">
        <f>SUMIF(PSR!$G$2:$G$447,Sheet3!A17,PSR!$I$2:$I$447)</f>
        <v>5</v>
      </c>
      <c r="H17" s="1" t="str">
        <f>VLOOKUP(I17,CHOOSE({1,2},([1]IRA!$D$4:$D$285),[1]IRA!$C$4:$C$285),2,FALSE)</f>
        <v>Vector Rzr</v>
      </c>
      <c r="I17" s="8">
        <v>80875507</v>
      </c>
      <c r="J17" s="8">
        <v>14</v>
      </c>
      <c r="K17" s="8">
        <f t="shared" si="0"/>
        <v>14</v>
      </c>
      <c r="L17" s="1">
        <f t="shared" si="1"/>
        <v>0</v>
      </c>
      <c r="M17" s="1" t="b">
        <f t="shared" si="2"/>
        <v>1</v>
      </c>
    </row>
    <row r="18" spans="1:13" x14ac:dyDescent="0.25">
      <c r="A18" s="1" t="str">
        <f>VLOOKUP(C18,PSR!$F$1:$G$447,2,FALSE)</f>
        <v>OB CAVDEF NEEM SFT4</v>
      </c>
      <c r="B18" s="1" t="s">
        <v>135</v>
      </c>
      <c r="C18" s="1">
        <v>80895603</v>
      </c>
      <c r="D18" s="62">
        <f>SUMIF(PSR!$G$2:$G$447,Sheet3!A18,PSR!$I$2:$I$447)</f>
        <v>6</v>
      </c>
      <c r="H18" s="1" t="str">
        <f>VLOOKUP(I18,CHOOSE({1,2},([1]IRA!$D$4:$D$285),[1]IRA!$C$4:$C$285),2,FALSE)</f>
        <v>Vector 2s</v>
      </c>
      <c r="I18" s="8">
        <v>80864300</v>
      </c>
      <c r="J18" s="8">
        <v>58</v>
      </c>
      <c r="K18" s="8">
        <f t="shared" si="0"/>
        <v>58</v>
      </c>
      <c r="L18" s="1">
        <f t="shared" si="1"/>
        <v>0</v>
      </c>
      <c r="M18" s="1" t="b">
        <f t="shared" si="2"/>
        <v>1</v>
      </c>
    </row>
    <row r="19" spans="1:13" x14ac:dyDescent="0.25">
      <c r="A19" s="1" t="str">
        <f>VLOOKUP(C19,PSR!$F$1:$G$447,2,FALSE)</f>
        <v>OB CAPH Power brush Sft</v>
      </c>
      <c r="B19" s="1" t="s">
        <v>137</v>
      </c>
      <c r="C19" s="1">
        <v>80843635</v>
      </c>
      <c r="D19" s="62">
        <f>SUMIF(PSR!$G$2:$G$447,Sheet3!A19,PSR!$I$2:$I$447)</f>
        <v>1</v>
      </c>
      <c r="H19" s="1" t="str">
        <f>VLOOKUP(I19,CHOOSE({1,2},([1]IRA!$D$4:$D$285),[1]IRA!$C$4:$C$285),2,FALSE)</f>
        <v>VENUS BIKINI SENSITIVE 1S</v>
      </c>
      <c r="I19" s="8">
        <v>80875513</v>
      </c>
      <c r="J19" s="8">
        <v>56</v>
      </c>
      <c r="K19" s="8">
        <f t="shared" si="0"/>
        <v>56</v>
      </c>
      <c r="L19" s="1">
        <f t="shared" si="1"/>
        <v>0</v>
      </c>
      <c r="M19" s="1" t="b">
        <f t="shared" si="2"/>
        <v>1</v>
      </c>
    </row>
    <row r="20" spans="1:13" x14ac:dyDescent="0.25">
      <c r="A20" s="1" t="str">
        <f>VLOOKUP(C20,PSR!$F$1:$G$447,2,FALSE)</f>
        <v>AS SPLSH (RB) 50ML</v>
      </c>
      <c r="B20" s="1" t="s">
        <v>139</v>
      </c>
      <c r="C20" s="1">
        <v>80865298</v>
      </c>
      <c r="D20" s="62">
        <f>SUMIF(PSR!$G$2:$G$447,Sheet3!A20,PSR!$I$2:$I$447)</f>
        <v>2</v>
      </c>
      <c r="H20" s="1" t="str">
        <f>VLOOKUP(I20,CHOOSE({1,2},([1]IRA!$D$4:$D$285),[1]IRA!$C$4:$C$285),2,FALSE)</f>
        <v>Venus Breeze Razor</v>
      </c>
      <c r="I20" s="8">
        <v>80840354</v>
      </c>
      <c r="J20" s="8">
        <v>50</v>
      </c>
      <c r="K20" s="8">
        <f t="shared" si="0"/>
        <v>50</v>
      </c>
      <c r="L20" s="1">
        <f t="shared" si="1"/>
        <v>0</v>
      </c>
      <c r="M20" s="1" t="b">
        <f t="shared" si="2"/>
        <v>1</v>
      </c>
    </row>
    <row r="21" spans="1:13" x14ac:dyDescent="0.25">
      <c r="A21" s="1" t="str">
        <f>VLOOKUP(C21,PSR!$F$1:$G$447,2,FALSE)</f>
        <v>Fat Foamy (Reg) 300gm</v>
      </c>
      <c r="B21" s="1" t="s">
        <v>141</v>
      </c>
      <c r="C21" s="1">
        <v>80866729</v>
      </c>
      <c r="D21" s="62">
        <f>SUMIF(PSR!$G$2:$G$447,Sheet3!A21,PSR!$I$2:$I$447)</f>
        <v>284</v>
      </c>
      <c r="H21" s="1" t="str">
        <f>VLOOKUP(I21,CHOOSE({1,2},([1]IRA!$D$4:$D$285),[1]IRA!$C$4:$C$285),2,FALSE)</f>
        <v>Venus Breeze Cart 2s</v>
      </c>
      <c r="I21" s="8">
        <v>80840352</v>
      </c>
      <c r="J21" s="8">
        <v>25</v>
      </c>
      <c r="K21" s="8">
        <f t="shared" si="0"/>
        <v>25</v>
      </c>
      <c r="L21" s="1">
        <f t="shared" si="1"/>
        <v>0</v>
      </c>
      <c r="M21" s="1" t="b">
        <f t="shared" si="2"/>
        <v>1</v>
      </c>
    </row>
    <row r="22" spans="1:13" x14ac:dyDescent="0.25">
      <c r="A22" s="1" t="str">
        <f>VLOOKUP(C22,PSR!$F$1:$G$447,2,FALSE)</f>
        <v>Fat Foamy (Sen) 300gm</v>
      </c>
      <c r="B22" s="1" t="s">
        <v>143</v>
      </c>
      <c r="C22" s="1">
        <v>80866723</v>
      </c>
      <c r="D22" s="62">
        <f>SUMIF(PSR!$G$2:$G$447,Sheet3!A22,PSR!$I$2:$I$447)</f>
        <v>158</v>
      </c>
      <c r="H22" s="1" t="str">
        <f>VLOOKUP(I22,CHOOSE({1,2},([1]IRA!$D$4:$D$285),[1]IRA!$C$4:$C$285),2,FALSE)</f>
        <v>Simply Venus 3s Disp</v>
      </c>
      <c r="I22" s="8">
        <v>80864296</v>
      </c>
      <c r="J22" s="8">
        <v>24</v>
      </c>
      <c r="K22" s="8">
        <f t="shared" si="0"/>
        <v>24</v>
      </c>
      <c r="L22" s="1">
        <f t="shared" si="1"/>
        <v>0</v>
      </c>
      <c r="M22" s="1" t="b">
        <f t="shared" si="2"/>
        <v>1</v>
      </c>
    </row>
    <row r="23" spans="1:13" x14ac:dyDescent="0.25">
      <c r="A23" s="1" t="str">
        <f>VLOOKUP(C23,PSR!$F$1:$G$447,2,FALSE)</f>
        <v>Foam (Charcoal) 200ml</v>
      </c>
      <c r="B23" s="1" t="s">
        <v>145</v>
      </c>
      <c r="C23" s="1">
        <v>80866728</v>
      </c>
      <c r="D23" s="62">
        <f>SUMIF(PSR!$G$2:$G$447,Sheet3!A23,PSR!$I$2:$I$447)</f>
        <v>5</v>
      </c>
      <c r="H23" s="1" t="s">
        <v>112</v>
      </c>
      <c r="I23" s="8">
        <v>80864297</v>
      </c>
      <c r="J23" s="8">
        <v>629</v>
      </c>
      <c r="K23" s="8">
        <f t="shared" si="0"/>
        <v>629</v>
      </c>
      <c r="L23" s="1">
        <f t="shared" si="1"/>
        <v>0</v>
      </c>
      <c r="M23" s="1" t="b">
        <f t="shared" si="2"/>
        <v>1</v>
      </c>
    </row>
    <row r="24" spans="1:13" x14ac:dyDescent="0.25">
      <c r="A24" s="1" t="str">
        <f>VLOOKUP(C24,PSR!$F$1:$G$447,2,FALSE)</f>
        <v>Foam (Lmn) 200ml</v>
      </c>
      <c r="B24" s="1" t="s">
        <v>147</v>
      </c>
      <c r="C24" s="1">
        <v>80866725</v>
      </c>
      <c r="D24" s="62">
        <f>SUMIF(PSR!$G$2:$G$447,Sheet3!A24,PSR!$I$2:$I$447)</f>
        <v>5</v>
      </c>
      <c r="H24" s="1" t="str">
        <f>VLOOKUP(I24,CHOOSE({1,2},([1]IRA!$D$4:$D$285),[1]IRA!$C$4:$C$285),2,FALSE)</f>
        <v>Venus Cart 2s</v>
      </c>
      <c r="I24" s="8">
        <v>80832389</v>
      </c>
      <c r="J24" s="8">
        <v>8</v>
      </c>
      <c r="K24" s="8">
        <f t="shared" si="0"/>
        <v>8</v>
      </c>
      <c r="L24" s="1">
        <f t="shared" si="1"/>
        <v>0</v>
      </c>
      <c r="M24" s="1" t="b">
        <f t="shared" si="2"/>
        <v>1</v>
      </c>
    </row>
    <row r="25" spans="1:13" x14ac:dyDescent="0.25">
      <c r="A25" s="1" t="str">
        <f>VLOOKUP(C25,PSR!$F$1:$G$447,2,FALSE)</f>
        <v>Foam (Reg) 50gm</v>
      </c>
      <c r="B25" s="1" t="s">
        <v>149</v>
      </c>
      <c r="C25" s="1">
        <v>80866726</v>
      </c>
      <c r="D25" s="62">
        <f>SUMIF(PSR!$G$2:$G$447,Sheet3!A25,PSR!$I$2:$I$447)</f>
        <v>18</v>
      </c>
      <c r="H25" s="1" t="str">
        <f>VLOOKUP(I25,CHOOSE({1,2},([1]IRA!$D$4:$D$285),[1]IRA!$C$4:$C$285),2,FALSE)</f>
        <v>Venus Razor</v>
      </c>
      <c r="I25" s="8">
        <v>80832398</v>
      </c>
      <c r="J25" s="8">
        <v>30</v>
      </c>
      <c r="K25" s="8">
        <f t="shared" si="0"/>
        <v>30</v>
      </c>
      <c r="L25" s="1">
        <f t="shared" si="1"/>
        <v>0</v>
      </c>
      <c r="M25" s="1" t="b">
        <f t="shared" si="2"/>
        <v>1</v>
      </c>
    </row>
    <row r="26" spans="1:13" x14ac:dyDescent="0.25">
      <c r="A26" s="1" t="str">
        <f>VLOOKUP(C26,PSR!$F$1:$G$447,2,FALSE)</f>
        <v>Cream GIL Reg 93gm</v>
      </c>
      <c r="B26" s="1" t="s">
        <v>151</v>
      </c>
      <c r="C26" s="1">
        <v>80862828</v>
      </c>
      <c r="D26" s="62">
        <f>SUMIF(PSR!$G$2:$G$447,Sheet3!A26,PSR!$I$2:$I$447)</f>
        <v>9</v>
      </c>
      <c r="H26" s="1" t="str">
        <f>VLOOKUP(I26,CHOOSE({1,2},([1]IRA!$D$4:$D$285),[1]IRA!$C$4:$C$285),2,FALSE)</f>
        <v>Venus Snap 1UP</v>
      </c>
      <c r="I26" s="8">
        <v>80832394</v>
      </c>
      <c r="J26" s="8">
        <v>13</v>
      </c>
      <c r="K26" s="8">
        <f t="shared" si="0"/>
        <v>13</v>
      </c>
      <c r="L26" s="1">
        <f t="shared" si="1"/>
        <v>0</v>
      </c>
      <c r="M26" s="1" t="b">
        <f t="shared" si="2"/>
        <v>1</v>
      </c>
    </row>
    <row r="27" spans="1:13" x14ac:dyDescent="0.25">
      <c r="A27" s="1" t="str">
        <f>VLOOKUP(C27,PSR!$F$1:$G$447,2,FALSE)</f>
        <v>Guard Cream 125 gm</v>
      </c>
      <c r="B27" s="1" t="s">
        <v>153</v>
      </c>
      <c r="C27" s="1">
        <v>80896468</v>
      </c>
      <c r="D27" s="62">
        <f>SUMIF(PSR!$G$2:$G$447,Sheet3!A27,PSR!$I$2:$I$447)</f>
        <v>60</v>
      </c>
      <c r="H27" s="1" t="str">
        <f>VLOOKUP(I27,CHOOSE({1,2},([1]IRA!$D$4:$D$285),[1]IRA!$C$4:$C$285),2,FALSE)</f>
        <v>H&amp;S AHF 90ML</v>
      </c>
      <c r="I27" s="8">
        <v>83911270</v>
      </c>
      <c r="J27" s="8">
        <v>231</v>
      </c>
      <c r="K27" s="8">
        <f t="shared" si="0"/>
        <v>231</v>
      </c>
      <c r="L27" s="1">
        <f t="shared" si="1"/>
        <v>0</v>
      </c>
      <c r="M27" s="1" t="b">
        <f t="shared" si="2"/>
        <v>1</v>
      </c>
    </row>
    <row r="28" spans="1:13" x14ac:dyDescent="0.25">
      <c r="A28" s="1" t="str">
        <f>VLOOKUP(C28,PSR!$F$1:$G$447,2,FALSE)</f>
        <v>whspr Choice ON XXL 6s</v>
      </c>
      <c r="B28" s="1" t="s">
        <v>155</v>
      </c>
      <c r="C28" s="1">
        <v>80869896</v>
      </c>
      <c r="D28" s="62">
        <f>SUMIF(PSR!$G$2:$G$447,Sheet3!A28,PSR!$I$2:$I$447)</f>
        <v>450</v>
      </c>
      <c r="H28" s="1" t="str">
        <f>VLOOKUP(I28,CHOOSE({1,2},([1]IRA!$D$4:$D$285),[1]IRA!$C$4:$C$285),2,FALSE)</f>
        <v>H&amp;S CM 90ML</v>
      </c>
      <c r="I28" s="8">
        <v>80892904</v>
      </c>
      <c r="J28" s="8">
        <v>414</v>
      </c>
      <c r="K28" s="8">
        <f t="shared" si="0"/>
        <v>414</v>
      </c>
      <c r="L28" s="1">
        <f t="shared" si="1"/>
        <v>0</v>
      </c>
      <c r="M28" s="1" t="b">
        <f t="shared" si="2"/>
        <v>1</v>
      </c>
    </row>
    <row r="29" spans="1:13" x14ac:dyDescent="0.25">
      <c r="A29" s="1" t="str">
        <f>VLOOKUP(C29,PSR!$F$1:$G$447,2,FALSE)</f>
        <v>whspr Choice Wings 6s</v>
      </c>
      <c r="B29" s="1" t="s">
        <v>157</v>
      </c>
      <c r="C29" s="1">
        <v>83911777</v>
      </c>
      <c r="D29" s="62">
        <f>SUMIF(PSR!$G$2:$G$447,Sheet3!A29,PSR!$I$2:$I$447)</f>
        <v>220</v>
      </c>
      <c r="H29" s="1" t="str">
        <f>VLOOKUP(I29,CHOOSE({1,2},([1]IRA!$D$4:$D$285),[1]IRA!$C$4:$C$285),2,FALSE)</f>
        <v>H&amp;S SS 90ML</v>
      </c>
      <c r="I29" s="8">
        <v>83911280</v>
      </c>
      <c r="J29" s="8">
        <v>171</v>
      </c>
      <c r="K29" s="8">
        <f t="shared" si="0"/>
        <v>171</v>
      </c>
      <c r="L29" s="1">
        <f t="shared" si="1"/>
        <v>0</v>
      </c>
      <c r="M29" s="1" t="b">
        <f t="shared" si="2"/>
        <v>1</v>
      </c>
    </row>
    <row r="30" spans="1:13" x14ac:dyDescent="0.25">
      <c r="A30" s="1"/>
      <c r="B30" s="1"/>
      <c r="C30" s="1"/>
      <c r="D30" s="62"/>
      <c r="H30" s="1" t="str">
        <f>VLOOKUP(I30,CHOOSE({1,2},([1]IRA!$D$4:$D$285),[1]IRA!$C$4:$C$285),2,FALSE)</f>
        <v>H&amp;S 2in1 SS 72ml</v>
      </c>
      <c r="I30" s="8">
        <v>80880909</v>
      </c>
      <c r="J30" s="8">
        <v>87</v>
      </c>
      <c r="K30" s="8">
        <f t="shared" si="0"/>
        <v>96</v>
      </c>
      <c r="L30" s="1">
        <f t="shared" si="1"/>
        <v>-9</v>
      </c>
      <c r="M30" s="1" t="b">
        <f t="shared" si="2"/>
        <v>0</v>
      </c>
    </row>
    <row r="31" spans="1:13" x14ac:dyDescent="0.25">
      <c r="A31" s="1" t="str">
        <f>VLOOKUP(C31,PSR!$F$1:$G$447,2,FALSE)</f>
        <v>whspr Choice Ultra 6s</v>
      </c>
      <c r="B31" s="1" t="s">
        <v>160</v>
      </c>
      <c r="C31" s="1">
        <v>83911635</v>
      </c>
      <c r="D31" s="62">
        <f>SUMIF(PSR!$G$2:$G$447,Sheet3!A31,PSR!$I$2:$I$447)</f>
        <v>2584</v>
      </c>
      <c r="H31" s="1" t="str">
        <f>VLOOKUP(I31,CHOOSE({1,2},([1]IRA!$D$4:$D$285),[1]IRA!$C$4:$C$285),2,FALSE)</f>
        <v>H&amp;S 7IN1 72ML</v>
      </c>
      <c r="I31" s="8">
        <v>83911276</v>
      </c>
      <c r="J31" s="8">
        <v>33</v>
      </c>
      <c r="K31" s="8">
        <f t="shared" si="0"/>
        <v>33</v>
      </c>
      <c r="L31" s="1">
        <f t="shared" si="1"/>
        <v>0</v>
      </c>
      <c r="M31" s="1" t="b">
        <f t="shared" si="2"/>
        <v>1</v>
      </c>
    </row>
    <row r="32" spans="1:13" x14ac:dyDescent="0.25">
      <c r="A32" s="1" t="str">
        <f>VLOOKUP(C32,PSR!$F$1:$G$447,2,FALSE)</f>
        <v>whspr Choice XL 6s</v>
      </c>
      <c r="B32" s="1" t="s">
        <v>162</v>
      </c>
      <c r="C32" s="1">
        <v>83911783</v>
      </c>
      <c r="D32" s="62">
        <f>SUMIF(PSR!$G$2:$G$447,Sheet3!A32,PSR!$I$2:$I$447)</f>
        <v>200</v>
      </c>
      <c r="H32" s="1" t="str">
        <f>VLOOKUP(I32,CHOOSE({1,2},([1]IRA!$D$4:$D$285),[1]IRA!$C$4:$C$285),2,FALSE)</f>
        <v>H&amp;S BG 72ML</v>
      </c>
      <c r="I32" s="8">
        <v>83911281</v>
      </c>
      <c r="J32" s="8">
        <v>123</v>
      </c>
      <c r="K32" s="8">
        <f t="shared" si="0"/>
        <v>123</v>
      </c>
      <c r="L32" s="1">
        <f t="shared" si="1"/>
        <v>0</v>
      </c>
      <c r="M32" s="1" t="b">
        <f t="shared" si="2"/>
        <v>1</v>
      </c>
    </row>
    <row r="33" spans="1:13" x14ac:dyDescent="0.25">
      <c r="A33" s="1" t="str">
        <f>VLOOKUP(C33,PSR!$F$1:$G$447,2,FALSE)</f>
        <v>Whspr ON Koala Pants L-XL 6s</v>
      </c>
      <c r="B33" s="1" t="s">
        <v>164</v>
      </c>
      <c r="C33" s="1">
        <v>80870358</v>
      </c>
      <c r="D33" s="62">
        <f>SUMIF(PSR!$G$2:$G$447,Sheet3!A33,PSR!$I$2:$I$447)</f>
        <v>81</v>
      </c>
      <c r="H33" s="1" t="str">
        <f>VLOOKUP(I33,CHOOSE({1,2},([1]IRA!$D$4:$D$285),[1]IRA!$C$4:$C$285),2,FALSE)</f>
        <v>OB Crisscross Bact Blast B2G1 Sft</v>
      </c>
      <c r="I33" s="8">
        <v>80894418</v>
      </c>
      <c r="J33" s="8">
        <v>2</v>
      </c>
      <c r="K33" s="8">
        <f t="shared" si="0"/>
        <v>2</v>
      </c>
      <c r="L33" s="1">
        <f t="shared" si="1"/>
        <v>0</v>
      </c>
      <c r="M33" s="1" t="b">
        <f t="shared" si="2"/>
        <v>1</v>
      </c>
    </row>
    <row r="34" spans="1:13" x14ac:dyDescent="0.25">
      <c r="A34" s="1" t="str">
        <f>VLOOKUP(C34,PSR!$F$1:$G$447,2,FALSE)</f>
        <v>Whspr ON Koala Pants M-L 6s</v>
      </c>
      <c r="B34" s="1" t="s">
        <v>166</v>
      </c>
      <c r="C34" s="1">
        <v>80870357</v>
      </c>
      <c r="D34" s="62">
        <f>SUMIF(PSR!$G$2:$G$447,Sheet3!A34,PSR!$I$2:$I$447)</f>
        <v>178</v>
      </c>
      <c r="H34" s="1" t="str">
        <f>VLOOKUP(I34,CHOOSE({1,2},([1]IRA!$D$4:$D$285),[1]IRA!$C$4:$C$285),2,FALSE)</f>
        <v>Olay NA IGF 20gm</v>
      </c>
      <c r="I34" s="8">
        <v>80878182</v>
      </c>
      <c r="J34" s="8">
        <v>42</v>
      </c>
      <c r="K34" s="8">
        <f t="shared" ref="K34:K56" si="3">IFERROR(VLOOKUP(H34,$A$2:$D$99,4,FALSE),0)</f>
        <v>42</v>
      </c>
      <c r="L34" s="1">
        <f t="shared" si="1"/>
        <v>0</v>
      </c>
      <c r="M34" s="1" t="b">
        <f t="shared" si="2"/>
        <v>1</v>
      </c>
    </row>
    <row r="35" spans="1:13" x14ac:dyDescent="0.25">
      <c r="A35" s="1" t="str">
        <f>VLOOKUP(C35,PSR!$F$1:$G$447,2,FALSE)</f>
        <v>whspr Ult ON XXL+ 6s</v>
      </c>
      <c r="B35" s="1" t="s">
        <v>168</v>
      </c>
      <c r="C35" s="1">
        <v>83908992</v>
      </c>
      <c r="D35" s="62">
        <f>SUMIF(PSR!$G$2:$G$447,Sheet3!A35,PSR!$I$2:$I$447)</f>
        <v>2</v>
      </c>
      <c r="H35" s="1" t="str">
        <f>VLOOKUP(I35,CHOOSE({1,2},([1]IRA!$D$4:$D$285),[1]IRA!$C$4:$C$285),2,FALSE)</f>
        <v>OS POCKET STREAMER OF 2 LIONPRIDE</v>
      </c>
      <c r="I35" s="8">
        <v>80762958</v>
      </c>
      <c r="J35" s="8">
        <v>1</v>
      </c>
      <c r="K35" s="8">
        <f t="shared" si="3"/>
        <v>1</v>
      </c>
      <c r="L35" s="1">
        <f t="shared" si="1"/>
        <v>0</v>
      </c>
      <c r="M35" s="1" t="b">
        <f t="shared" si="2"/>
        <v>1</v>
      </c>
    </row>
    <row r="36" spans="1:13" x14ac:dyDescent="0.25">
      <c r="A36" s="1" t="str">
        <f>VLOOKUP(C36,PSR!$F$1:$G$447,2,FALSE)</f>
        <v>whspr Ult XXXL ON 4s</v>
      </c>
      <c r="B36" s="1" t="s">
        <v>170</v>
      </c>
      <c r="C36" s="1">
        <v>80887674</v>
      </c>
      <c r="D36" s="62">
        <f>SUMIF(PSR!$G$2:$G$447,Sheet3!A36,PSR!$I$2:$I$447)</f>
        <v>24</v>
      </c>
      <c r="H36" s="1" t="str">
        <f>VLOOKUP(I36,CHOOSE({1,2},([1]IRA!$D$4:$D$285),[1]IRA!$C$4:$C$285),2,FALSE)</f>
        <v>OB CAVDEF NEEM SFT4</v>
      </c>
      <c r="I36" s="8">
        <v>80895603</v>
      </c>
      <c r="J36" s="8">
        <v>6</v>
      </c>
      <c r="K36" s="8">
        <f t="shared" si="3"/>
        <v>6</v>
      </c>
      <c r="L36" s="1">
        <f t="shared" si="1"/>
        <v>0</v>
      </c>
      <c r="M36" s="1" t="b">
        <f t="shared" si="2"/>
        <v>1</v>
      </c>
    </row>
    <row r="37" spans="1:13" x14ac:dyDescent="0.25">
      <c r="A37" s="1" t="str">
        <f>VLOOKUP(C37,PSR!$F$1:$G$447,2,FALSE)</f>
        <v>whspr Maxi Rg 15s</v>
      </c>
      <c r="B37" s="1" t="s">
        <v>172</v>
      </c>
      <c r="C37" s="1">
        <v>80869511</v>
      </c>
      <c r="D37" s="62">
        <f>SUMIF(PSR!$G$2:$G$447,Sheet3!A37,PSR!$I$2:$I$447)</f>
        <v>11</v>
      </c>
      <c r="H37" s="1" t="str">
        <f>VLOOKUP(I37,CHOOSE({1,2},([1]IRA!$D$4:$D$285),[1]IRA!$C$4:$C$285),2,FALSE)</f>
        <v>OB KIDS CHOTA BHEEM 3S</v>
      </c>
      <c r="I37" s="8">
        <v>80895602</v>
      </c>
      <c r="J37" s="8">
        <v>16</v>
      </c>
      <c r="K37" s="8">
        <f t="shared" si="3"/>
        <v>16</v>
      </c>
      <c r="L37" s="1">
        <f t="shared" si="1"/>
        <v>0</v>
      </c>
      <c r="M37" s="1" t="b">
        <f t="shared" si="2"/>
        <v>1</v>
      </c>
    </row>
    <row r="38" spans="1:13" x14ac:dyDescent="0.25">
      <c r="A38" s="1" t="str">
        <f>VLOOKUP(C38,PSR!$F$1:$G$447,2,FALSE)</f>
        <v>whspr Ultra XL+ 7s CFC</v>
      </c>
      <c r="B38" s="1" t="s">
        <v>174</v>
      </c>
      <c r="C38" s="1">
        <v>80893410</v>
      </c>
      <c r="D38" s="62">
        <f>SUMIF(PSR!$G$2:$G$447,Sheet3!A38,PSR!$I$2:$I$447)</f>
        <v>99</v>
      </c>
      <c r="H38" s="1" t="e">
        <f>VLOOKUP(I38,CHOOSE({1,2},([1]IRA!$D$4:$D$285),[1]IRA!$C$4:$C$285),2,FALSE)</f>
        <v>#N/A</v>
      </c>
      <c r="I38" s="8">
        <v>80895783</v>
      </c>
      <c r="J38" s="8">
        <v>4</v>
      </c>
      <c r="K38" s="8">
        <f t="shared" si="3"/>
        <v>0</v>
      </c>
      <c r="L38" s="1">
        <f t="shared" si="1"/>
        <v>4</v>
      </c>
      <c r="M38" s="1" t="b">
        <f t="shared" si="2"/>
        <v>0</v>
      </c>
    </row>
    <row r="39" spans="1:13" x14ac:dyDescent="0.25">
      <c r="A39" s="1" t="str">
        <f>VLOOKUP(C39,PSR!$F$1:$G$447,2,FALSE)</f>
        <v>whspr Ult ON XXL 7s</v>
      </c>
      <c r="B39" s="1" t="s">
        <v>176</v>
      </c>
      <c r="C39" s="1">
        <v>83916746</v>
      </c>
      <c r="D39" s="62">
        <f>SUMIF(PSR!$G$2:$G$447,Sheet3!A39,PSR!$I$2:$I$447)</f>
        <v>57</v>
      </c>
      <c r="H39" s="1" t="str">
        <f>VLOOKUP(I39,CHOOSE({1,2},([1]IRA!$D$4:$D$285),[1]IRA!$C$4:$C$285),2,FALSE)</f>
        <v>Active Baby SM Econ</v>
      </c>
      <c r="I39" s="8">
        <v>80895465</v>
      </c>
      <c r="J39" s="8">
        <v>29</v>
      </c>
      <c r="K39" s="8">
        <f t="shared" si="3"/>
        <v>29</v>
      </c>
      <c r="L39" s="1">
        <f t="shared" si="1"/>
        <v>0</v>
      </c>
      <c r="M39" s="1" t="b">
        <f t="shared" si="2"/>
        <v>1</v>
      </c>
    </row>
    <row r="40" spans="1:13" x14ac:dyDescent="0.25">
      <c r="A40" s="1" t="str">
        <f>VLOOKUP(C40,PSR!$F$1:$G$447,2,FALSE)</f>
        <v>BabyRub 25 ml</v>
      </c>
      <c r="B40" s="1" t="s">
        <v>178</v>
      </c>
      <c r="C40" s="1">
        <v>80862572</v>
      </c>
      <c r="D40" s="62">
        <f>SUMIF(PSR!$G$2:$G$447,Sheet3!A40,PSR!$I$2:$I$447)</f>
        <v>4</v>
      </c>
      <c r="H40" s="1" t="str">
        <f>VLOOKUP(I40,CHOOSE({1,2},([1]IRA!$D$4:$D$285),[1]IRA!$C$4:$C$285),2,FALSE)</f>
        <v>PC Pants LG Econ Pk</v>
      </c>
      <c r="I40" s="8">
        <v>83921920</v>
      </c>
      <c r="J40" s="8">
        <v>28</v>
      </c>
      <c r="K40" s="8">
        <f t="shared" si="3"/>
        <v>28</v>
      </c>
      <c r="L40" s="1">
        <f t="shared" si="1"/>
        <v>0</v>
      </c>
      <c r="M40" s="1" t="b">
        <f t="shared" si="2"/>
        <v>1</v>
      </c>
    </row>
    <row r="41" spans="1:13" x14ac:dyDescent="0.25">
      <c r="A41" s="1" t="str">
        <f>VLOOKUP(C41,PSR!$F$1:$G$447,2,FALSE)</f>
        <v>Vaporub 25gm</v>
      </c>
      <c r="B41" s="1" t="s">
        <v>180</v>
      </c>
      <c r="C41" s="1">
        <v>83916219</v>
      </c>
      <c r="D41" s="62">
        <f>SUMIF(PSR!$G$2:$G$447,Sheet3!A41,PSR!$I$2:$I$447)</f>
        <v>8</v>
      </c>
      <c r="H41" s="1" t="str">
        <f>VLOOKUP(I41,CHOOSE({1,2},([1]IRA!$D$4:$D$285),[1]IRA!$C$4:$C$285),2,FALSE)</f>
        <v>RED Pants Jumbo New LG</v>
      </c>
      <c r="I41" s="8">
        <v>80887983</v>
      </c>
      <c r="J41" s="8">
        <v>6</v>
      </c>
      <c r="K41" s="8">
        <f t="shared" si="3"/>
        <v>45</v>
      </c>
      <c r="L41" s="1">
        <f t="shared" si="1"/>
        <v>-39</v>
      </c>
      <c r="M41" s="1" t="b">
        <f t="shared" si="2"/>
        <v>0</v>
      </c>
    </row>
    <row r="42" spans="1:13" x14ac:dyDescent="0.25">
      <c r="A42" s="1" t="str">
        <f>VLOOKUP(C42,PSR!$F$1:$G$447,2,FALSE)</f>
        <v>ATOM ORIGINAL 150ML</v>
      </c>
      <c r="B42" s="1" t="s">
        <v>182</v>
      </c>
      <c r="C42" s="1">
        <v>80830411</v>
      </c>
      <c r="D42" s="62">
        <f>SUMIF(PSR!$G$2:$G$447,Sheet3!A42,PSR!$I$2:$I$447)</f>
        <v>6</v>
      </c>
      <c r="H42" s="1" t="s">
        <v>211</v>
      </c>
      <c r="I42" s="8">
        <v>83921921</v>
      </c>
      <c r="J42" s="8">
        <v>115</v>
      </c>
      <c r="K42" s="8">
        <f t="shared" si="3"/>
        <v>115</v>
      </c>
      <c r="L42" s="1">
        <f t="shared" si="1"/>
        <v>0</v>
      </c>
      <c r="M42" s="1" t="b">
        <f t="shared" si="2"/>
        <v>1</v>
      </c>
    </row>
    <row r="43" spans="1:13" x14ac:dyDescent="0.25">
      <c r="A43" s="1" t="str">
        <f>VLOOKUP(C43,PSR!$F$1:$G$447,2,FALSE)</f>
        <v>AmbPr Air LB</v>
      </c>
      <c r="B43" s="1" t="s">
        <v>184</v>
      </c>
      <c r="C43" s="1">
        <v>80780342</v>
      </c>
      <c r="D43" s="62">
        <f>SUMIF(PSR!$G$2:$G$447,Sheet3!A43,PSR!$I$2:$I$447)</f>
        <v>1</v>
      </c>
      <c r="H43" s="1" t="str">
        <f>VLOOKUP(I43,CHOOSE({1,2},([1]IRA!$D$4:$D$285),[1]IRA!$C$4:$C$285),2,FALSE)</f>
        <v>RED Pants Jumbo New MD</v>
      </c>
      <c r="I43" s="8">
        <v>83918762</v>
      </c>
      <c r="J43" s="8">
        <v>90</v>
      </c>
      <c r="K43" s="8">
        <f t="shared" si="3"/>
        <v>90</v>
      </c>
      <c r="L43" s="1">
        <f t="shared" si="1"/>
        <v>0</v>
      </c>
      <c r="M43" s="1" t="b">
        <f t="shared" si="2"/>
        <v>1</v>
      </c>
    </row>
    <row r="44" spans="1:13" x14ac:dyDescent="0.25">
      <c r="A44" s="1" t="str">
        <f>VLOOKUP(C44,PSR!$F$1:$G$447,2,FALSE)</f>
        <v>Active Baby NB Econ</v>
      </c>
      <c r="B44" s="1" t="s">
        <v>186</v>
      </c>
      <c r="C44" s="1">
        <v>83933413</v>
      </c>
      <c r="D44" s="62">
        <f>SUMIF(PSR!$G$2:$G$447,Sheet3!A44,PSR!$I$2:$I$447)</f>
        <v>252</v>
      </c>
      <c r="H44" s="1" t="s">
        <v>213</v>
      </c>
      <c r="I44" s="8">
        <v>83921924</v>
      </c>
      <c r="J44" s="8">
        <v>171</v>
      </c>
      <c r="K44" s="8">
        <f t="shared" si="3"/>
        <v>171</v>
      </c>
      <c r="L44" s="1">
        <f t="shared" si="1"/>
        <v>0</v>
      </c>
      <c r="M44" s="1" t="b">
        <f t="shared" si="2"/>
        <v>1</v>
      </c>
    </row>
    <row r="45" spans="1:13" x14ac:dyDescent="0.25">
      <c r="A45" s="1" t="str">
        <f>VLOOKUP(C45,PSR!$F$1:$G$447,2,FALSE)</f>
        <v>Active Baby SM Econ</v>
      </c>
      <c r="B45" s="1" t="s">
        <v>188</v>
      </c>
      <c r="C45" s="1">
        <v>80895465</v>
      </c>
      <c r="D45" s="62">
        <f>SUMIF(PSR!$G$2:$G$447,Sheet3!A45,PSR!$I$2:$I$447)</f>
        <v>29</v>
      </c>
      <c r="H45" s="1" t="str">
        <f>VLOOKUP(I45,CHOOSE({1,2},([1]IRA!$D$4:$D$285),[1]IRA!$C$4:$C$285),2,FALSE)</f>
        <v>PC Pants SM Econ Pk</v>
      </c>
      <c r="I45" s="8">
        <v>83921923</v>
      </c>
      <c r="J45" s="8">
        <v>75</v>
      </c>
      <c r="K45" s="8">
        <f t="shared" si="3"/>
        <v>75</v>
      </c>
      <c r="L45" s="1">
        <f t="shared" si="1"/>
        <v>0</v>
      </c>
      <c r="M45" s="1" t="b">
        <f t="shared" si="2"/>
        <v>1</v>
      </c>
    </row>
    <row r="46" spans="1:13" x14ac:dyDescent="0.25">
      <c r="A46" s="1"/>
      <c r="B46" s="1"/>
      <c r="C46" s="1"/>
      <c r="D46" s="62"/>
      <c r="H46" s="1" t="str">
        <f>VLOOKUP(I46,CHOOSE({1,2},([1]IRA!$D$4:$D$285),[1]IRA!$C$4:$C$285),2,FALSE)</f>
        <v>PC Pants XL Econ PK</v>
      </c>
      <c r="I46" s="8">
        <v>80887692</v>
      </c>
      <c r="J46" s="8">
        <v>12</v>
      </c>
      <c r="K46" s="8">
        <f t="shared" si="3"/>
        <v>12</v>
      </c>
      <c r="L46" s="1">
        <f t="shared" si="1"/>
        <v>0</v>
      </c>
      <c r="M46" s="1" t="b">
        <f t="shared" si="2"/>
        <v>1</v>
      </c>
    </row>
    <row r="47" spans="1:13" x14ac:dyDescent="0.25">
      <c r="A47" s="1" t="str">
        <f>VLOOKUP(C47,PSR!$F$1:$G$447,2,FALSE)</f>
        <v>RED Pants Jumbo New MD</v>
      </c>
      <c r="B47" s="1" t="s">
        <v>192</v>
      </c>
      <c r="C47" s="1">
        <v>83918762</v>
      </c>
      <c r="D47" s="62">
        <f>SUMIF(PSR!$G$2:$G$447,Sheet3!A47,PSR!$I$2:$I$447)</f>
        <v>90</v>
      </c>
      <c r="H47" s="1" t="str">
        <f>VLOOKUP(I47,CHOOSE({1,2},([1]IRA!$D$4:$D$285),[1]IRA!$C$4:$C$285),2,FALSE)</f>
        <v>BLUE Pants Regs MD</v>
      </c>
      <c r="I47" s="8">
        <v>80895502</v>
      </c>
      <c r="J47" s="8">
        <v>6</v>
      </c>
      <c r="K47" s="8">
        <f t="shared" si="3"/>
        <v>6</v>
      </c>
      <c r="L47" s="1">
        <f t="shared" si="1"/>
        <v>0</v>
      </c>
      <c r="M47" s="1" t="b">
        <f t="shared" si="2"/>
        <v>1</v>
      </c>
    </row>
    <row r="48" spans="1:13" x14ac:dyDescent="0.25">
      <c r="A48" s="1" t="str">
        <f>VLOOKUP(C48,PSR!$F$1:$G$447,2,FALSE)</f>
        <v>RED Pants Jumbo New SM</v>
      </c>
      <c r="B48" s="1" t="s">
        <v>194</v>
      </c>
      <c r="C48" s="1">
        <v>83918765</v>
      </c>
      <c r="D48" s="62">
        <f>SUMIF(PSR!$G$2:$G$447,Sheet3!A48,PSR!$I$2:$I$447)</f>
        <v>1206</v>
      </c>
      <c r="H48" s="1" t="str">
        <f>VLOOKUP(I48,CHOOSE({1,2},([1]IRA!$D$4:$D$285),[1]IRA!$C$4:$C$285),2,FALSE)</f>
        <v>BLUE Pants Regs NB</v>
      </c>
      <c r="I48" s="8">
        <v>80895500</v>
      </c>
      <c r="J48" s="8">
        <v>21</v>
      </c>
      <c r="K48" s="8">
        <f t="shared" si="3"/>
        <v>21</v>
      </c>
      <c r="L48" s="1">
        <f t="shared" si="1"/>
        <v>0</v>
      </c>
      <c r="M48" s="1" t="b">
        <f t="shared" si="2"/>
        <v>1</v>
      </c>
    </row>
    <row r="49" spans="1:13" x14ac:dyDescent="0.25">
      <c r="A49" s="1" t="str">
        <f>VLOOKUP(C49,PSR!$F$1:$G$447,2,FALSE)</f>
        <v>RED Pants Regs LG</v>
      </c>
      <c r="B49" s="1" t="s">
        <v>196</v>
      </c>
      <c r="C49" s="1">
        <v>83912164</v>
      </c>
      <c r="D49" s="62">
        <f>SUMIF(PSR!$G$2:$G$447,Sheet3!A49,PSR!$I$2:$I$447)</f>
        <v>351</v>
      </c>
      <c r="H49" s="1" t="str">
        <f>VLOOKUP(I49,CHOOSE({1,2},([1]IRA!$D$4:$D$285),[1]IRA!$C$4:$C$285),2,FALSE)</f>
        <v>BLUE Pants Regs SM</v>
      </c>
      <c r="I49" s="8">
        <v>83912172</v>
      </c>
      <c r="J49" s="8">
        <v>159</v>
      </c>
      <c r="K49" s="8">
        <f t="shared" si="3"/>
        <v>159</v>
      </c>
      <c r="L49" s="1">
        <f t="shared" si="1"/>
        <v>0</v>
      </c>
      <c r="M49" s="1" t="b">
        <f t="shared" si="2"/>
        <v>1</v>
      </c>
    </row>
    <row r="50" spans="1:13" x14ac:dyDescent="0.25">
      <c r="A50" s="1" t="str">
        <f>VLOOKUP(C50,PSR!$F$1:$G$447,2,FALSE)</f>
        <v>RED Pants Regs MD</v>
      </c>
      <c r="B50" s="1" t="s">
        <v>198</v>
      </c>
      <c r="C50" s="1">
        <v>83912166</v>
      </c>
      <c r="D50" s="62">
        <f>SUMIF(PSR!$G$2:$G$447,Sheet3!A50,PSR!$I$2:$I$447)</f>
        <v>327</v>
      </c>
      <c r="H50" s="1" t="str">
        <f>VLOOKUP(I50,CHOOSE({1,2},([1]IRA!$D$4:$D$285),[1]IRA!$C$4:$C$285),2,FALSE)</f>
        <v>BLUE Pants Regs XL</v>
      </c>
      <c r="I50" s="8">
        <v>80895504</v>
      </c>
      <c r="J50" s="8">
        <v>10</v>
      </c>
      <c r="K50" s="8">
        <f t="shared" si="3"/>
        <v>10</v>
      </c>
      <c r="L50" s="1">
        <f t="shared" si="1"/>
        <v>0</v>
      </c>
      <c r="M50" s="1" t="b">
        <f t="shared" si="2"/>
        <v>1</v>
      </c>
    </row>
    <row r="51" spans="1:13" x14ac:dyDescent="0.25">
      <c r="A51" s="1" t="str">
        <f>VLOOKUP(C51,PSR!$F$1:$G$447,2,FALSE)</f>
        <v>RED Pants Regs NB</v>
      </c>
      <c r="B51" s="1" t="s">
        <v>200</v>
      </c>
      <c r="C51" s="1">
        <v>83918758</v>
      </c>
      <c r="D51" s="62">
        <f>SUMIF(PSR!$G$2:$G$447,Sheet3!A51,PSR!$I$2:$I$447)</f>
        <v>99</v>
      </c>
      <c r="H51" s="1" t="str">
        <f>VLOOKUP(I51,CHOOSE({1,2},([1]IRA!$D$4:$D$285),[1]IRA!$C$4:$C$285),2,FALSE)</f>
        <v>RED Pants Regs LG</v>
      </c>
      <c r="I51" s="8">
        <v>83912164</v>
      </c>
      <c r="J51" s="8">
        <v>351</v>
      </c>
      <c r="K51" s="8">
        <f t="shared" si="3"/>
        <v>351</v>
      </c>
      <c r="L51" s="1">
        <f t="shared" si="1"/>
        <v>0</v>
      </c>
      <c r="M51" s="1" t="b">
        <f t="shared" si="2"/>
        <v>1</v>
      </c>
    </row>
    <row r="52" spans="1:13" x14ac:dyDescent="0.25">
      <c r="A52" s="1" t="str">
        <f>VLOOKUP(C52,PSR!$F$1:$G$447,2,FALSE)</f>
        <v>RED Pants Regs SM</v>
      </c>
      <c r="B52" s="1" t="s">
        <v>202</v>
      </c>
      <c r="C52" s="1">
        <v>83918759</v>
      </c>
      <c r="D52" s="62">
        <f>SUMIF(PSR!$G$2:$G$447,Sheet3!A52,PSR!$I$2:$I$447)</f>
        <v>768</v>
      </c>
      <c r="H52" s="1" t="str">
        <f>VLOOKUP(I52,CHOOSE({1,2},([1]IRA!$D$4:$D$285),[1]IRA!$C$4:$C$285),2,FALSE)</f>
        <v>RED Pants Regs NB</v>
      </c>
      <c r="I52" s="8">
        <v>83918758</v>
      </c>
      <c r="J52" s="8">
        <v>99</v>
      </c>
      <c r="K52" s="8">
        <f t="shared" si="3"/>
        <v>99</v>
      </c>
      <c r="L52" s="1">
        <f t="shared" si="1"/>
        <v>0</v>
      </c>
      <c r="M52" s="1" t="b">
        <f t="shared" si="2"/>
        <v>1</v>
      </c>
    </row>
    <row r="53" spans="1:13" x14ac:dyDescent="0.25">
      <c r="A53" s="1" t="str">
        <f>VLOOKUP(C53,PSR!$F$1:$G$447,2,FALSE)</f>
        <v>RED Pants Regs XL</v>
      </c>
      <c r="B53" s="1" t="s">
        <v>204</v>
      </c>
      <c r="C53" s="1">
        <v>80895517</v>
      </c>
      <c r="D53" s="62">
        <f>SUMIF(PSR!$G$2:$G$447,Sheet3!A53,PSR!$I$2:$I$447)</f>
        <v>186</v>
      </c>
      <c r="H53" s="1" t="str">
        <f>VLOOKUP(I53,CHOOSE({1,2},([1]IRA!$D$4:$D$285),[1]IRA!$C$4:$C$285),2,FALSE)</f>
        <v>RED Pants Regs SM</v>
      </c>
      <c r="I53" s="8">
        <v>83918759</v>
      </c>
      <c r="J53" s="8">
        <v>768</v>
      </c>
      <c r="K53" s="8">
        <f t="shared" si="3"/>
        <v>768</v>
      </c>
      <c r="L53" s="1">
        <f t="shared" si="1"/>
        <v>0</v>
      </c>
      <c r="M53" s="1" t="b">
        <f t="shared" si="2"/>
        <v>1</v>
      </c>
    </row>
    <row r="54" spans="1:13" x14ac:dyDescent="0.25">
      <c r="A54" s="1" t="str">
        <f>VLOOKUP(C54,PSR!$F$1:$G$447,2,FALSE)</f>
        <v>BLUE Pants Regs NB</v>
      </c>
      <c r="B54" s="1" t="s">
        <v>206</v>
      </c>
      <c r="C54" s="1">
        <v>80895500</v>
      </c>
      <c r="D54" s="62">
        <f>SUMIF(PSR!$G$2:$G$447,Sheet3!A54,PSR!$I$2:$I$447)</f>
        <v>21</v>
      </c>
      <c r="H54" s="1" t="str">
        <f>VLOOKUP(I54,CHOOSE({1,2},([1]IRA!$D$4:$D$285),[1]IRA!$C$4:$C$285),2,FALSE)</f>
        <v>RED Pants Regs XL</v>
      </c>
      <c r="I54" s="8">
        <v>80895517</v>
      </c>
      <c r="J54" s="8">
        <v>186</v>
      </c>
      <c r="K54" s="8">
        <f t="shared" si="3"/>
        <v>186</v>
      </c>
      <c r="L54" s="1">
        <f t="shared" si="1"/>
        <v>0</v>
      </c>
      <c r="M54" s="1" t="b">
        <f t="shared" si="2"/>
        <v>1</v>
      </c>
    </row>
    <row r="55" spans="1:13" x14ac:dyDescent="0.25">
      <c r="A55" s="1" t="str">
        <f>VLOOKUP(C55,PSR!$F$1:$G$447,2,FALSE)</f>
        <v>BLUE Pants Regs SM</v>
      </c>
      <c r="B55" s="1" t="s">
        <v>208</v>
      </c>
      <c r="C55" s="1">
        <v>83912172</v>
      </c>
      <c r="D55" s="62">
        <f>SUMIF(PSR!$G$2:$G$447,Sheet3!A55,PSR!$I$2:$I$447)</f>
        <v>159</v>
      </c>
      <c r="H55" s="1" t="str">
        <f>VLOOKUP(I55,CHOOSE({1,2},([1]IRA!$D$4:$D$285),[1]IRA!$C$4:$C$285),2,FALSE)</f>
        <v>RED Pants Jumbo New SM</v>
      </c>
      <c r="I55" s="8">
        <v>83918765</v>
      </c>
      <c r="J55" s="8">
        <v>1206</v>
      </c>
      <c r="K55" s="8">
        <f t="shared" si="3"/>
        <v>1206</v>
      </c>
      <c r="L55" s="1">
        <f t="shared" si="1"/>
        <v>0</v>
      </c>
      <c r="M55" s="1" t="b">
        <f t="shared" si="2"/>
        <v>1</v>
      </c>
    </row>
    <row r="56" spans="1:13" x14ac:dyDescent="0.25">
      <c r="A56" s="1" t="str">
        <f>VLOOKUP(C56,PSR!$F$1:$G$447,2,FALSE)</f>
        <v>PC Pants LG Econ Pk</v>
      </c>
      <c r="B56" s="1" t="s">
        <v>210</v>
      </c>
      <c r="C56" s="1">
        <v>83921920</v>
      </c>
      <c r="D56" s="62">
        <f>SUMIF(PSR!$G$2:$G$447,Sheet3!A56,PSR!$I$2:$I$447)</f>
        <v>28</v>
      </c>
      <c r="H56" s="1" t="str">
        <f>VLOOKUP(I56,CHOOSE({1,2},([1]IRA!$D$4:$D$285),[1]IRA!$C$4:$C$285),2,FALSE)</f>
        <v>RED Pants Regs MD</v>
      </c>
      <c r="I56" s="8">
        <v>83912166</v>
      </c>
      <c r="J56" s="8">
        <v>327</v>
      </c>
      <c r="K56" s="8">
        <f t="shared" si="3"/>
        <v>327</v>
      </c>
      <c r="L56" s="1">
        <f t="shared" si="1"/>
        <v>0</v>
      </c>
      <c r="M56" s="1" t="b">
        <f t="shared" si="2"/>
        <v>1</v>
      </c>
    </row>
    <row r="57" spans="1:13" x14ac:dyDescent="0.25">
      <c r="A57" s="1"/>
      <c r="B57" s="1"/>
      <c r="C57" s="1"/>
      <c r="D57" s="62"/>
      <c r="H57" s="1" t="str">
        <f>VLOOKUP(I57,CHOOSE({1,2},([1]IRA!$D$4:$D$285),[1]IRA!$C$4:$C$285),2,FALSE)</f>
        <v>Active Baby NB Econ</v>
      </c>
      <c r="I57" s="8">
        <v>83933413</v>
      </c>
      <c r="J57" s="8">
        <v>252</v>
      </c>
      <c r="K57" s="8">
        <f t="shared" ref="K57" si="4">IFERROR(VLOOKUP(H57,$A$2:$D$99,4,FALSE),0)</f>
        <v>252</v>
      </c>
      <c r="L57" s="1">
        <f t="shared" si="1"/>
        <v>0</v>
      </c>
      <c r="M57" s="1" t="b">
        <f t="shared" si="2"/>
        <v>1</v>
      </c>
    </row>
    <row r="58" spans="1:13" x14ac:dyDescent="0.25">
      <c r="A58" s="1" t="str">
        <f>VLOOKUP(C58,PSR!$F$1:$G$447,2,FALSE)</f>
        <v>PC Pants NB Econ Pk</v>
      </c>
      <c r="B58" s="1" t="s">
        <v>214</v>
      </c>
      <c r="C58" s="1">
        <v>83921924</v>
      </c>
      <c r="D58" s="62">
        <f>SUMIF(PSR!$G$2:$G$447,Sheet3!A58,PSR!$I$2:$I$447)</f>
        <v>171</v>
      </c>
      <c r="H58" s="1" t="str">
        <f>VLOOKUP(I58,CHOOSE({1,2},([1]IRA!$D$4:$D$285),[1]IRA!$C$4:$C$285),2,FALSE)</f>
        <v>Pntn HFC 90ml</v>
      </c>
      <c r="I58" s="8">
        <v>80879273</v>
      </c>
      <c r="J58" s="8">
        <v>120</v>
      </c>
      <c r="K58" s="8">
        <f t="shared" ref="K58:K100" si="5">IFERROR(VLOOKUP(H58,$A$2:$D$99,4,FALSE),0)</f>
        <v>120</v>
      </c>
      <c r="L58" s="1">
        <f t="shared" si="1"/>
        <v>0</v>
      </c>
      <c r="M58" s="1" t="b">
        <f t="shared" si="2"/>
        <v>1</v>
      </c>
    </row>
    <row r="59" spans="1:13" x14ac:dyDescent="0.25">
      <c r="A59" s="1" t="str">
        <f>VLOOKUP(C59,PSR!$F$1:$G$447,2,FALSE)</f>
        <v>PC Pants SM Econ Pk</v>
      </c>
      <c r="B59" s="1" t="s">
        <v>216</v>
      </c>
      <c r="C59" s="1">
        <v>83921923</v>
      </c>
      <c r="D59" s="62">
        <f>SUMIF(PSR!$G$2:$G$447,Sheet3!A59,PSR!$I$2:$I$447)</f>
        <v>75</v>
      </c>
      <c r="H59" s="1" t="str">
        <f>VLOOKUP(I59,CHOOSE({1,2},([1]IRA!$D$4:$D$285),[1]IRA!$C$4:$C$285),2,FALSE)</f>
        <v>PNTN LC 90ML</v>
      </c>
      <c r="I59" s="8">
        <v>80879269</v>
      </c>
      <c r="J59" s="8">
        <v>24</v>
      </c>
      <c r="K59" s="8">
        <f t="shared" si="5"/>
        <v>24</v>
      </c>
      <c r="L59" s="1">
        <f t="shared" si="1"/>
        <v>0</v>
      </c>
      <c r="M59" s="1" t="b">
        <f t="shared" si="2"/>
        <v>1</v>
      </c>
    </row>
    <row r="60" spans="1:13" x14ac:dyDescent="0.25">
      <c r="A60" s="1" t="str">
        <f>VLOOKUP(C60,PSR!$F$1:$G$447,2,FALSE)</f>
        <v>PC Pants XL Econ PK</v>
      </c>
      <c r="B60" s="1" t="s">
        <v>218</v>
      </c>
      <c r="C60" s="1">
        <v>80887692</v>
      </c>
      <c r="D60" s="62">
        <f>SUMIF(PSR!$G$2:$G$447,Sheet3!A60,PSR!$I$2:$I$447)</f>
        <v>12</v>
      </c>
      <c r="H60" s="1" t="str">
        <f>VLOOKUP(I60,CHOOSE({1,2},([1]IRA!$D$4:$D$285),[1]IRA!$C$4:$C$285),2,FALSE)</f>
        <v>Pntn SS 90ml</v>
      </c>
      <c r="I60" s="8">
        <v>80879272</v>
      </c>
      <c r="J60" s="8">
        <v>3</v>
      </c>
      <c r="K60" s="8">
        <f t="shared" si="5"/>
        <v>3</v>
      </c>
      <c r="L60" s="1">
        <f t="shared" si="1"/>
        <v>0</v>
      </c>
      <c r="M60" s="1" t="b">
        <f t="shared" si="2"/>
        <v>1</v>
      </c>
    </row>
    <row r="61" spans="1:13" x14ac:dyDescent="0.25">
      <c r="A61" s="1" t="str">
        <f>VLOOKUP(C61,PSR!$F$1:$G$447,2,FALSE)</f>
        <v>H&amp;S 2in1 SS 72ml</v>
      </c>
      <c r="B61" s="1" t="s">
        <v>220</v>
      </c>
      <c r="C61" s="1">
        <v>83911268</v>
      </c>
      <c r="D61" s="62">
        <f>SUMIF(PSR!$G$2:$G$447,Sheet3!A61,PSR!$I$2:$I$447)</f>
        <v>96</v>
      </c>
      <c r="H61" s="1" t="str">
        <f>VLOOKUP(I61,CHOOSE({1,2},([1]IRA!$D$4:$D$285),[1]IRA!$C$4:$C$285),2,FALSE)</f>
        <v>Pntn condi Biotin 3MM 200ml</v>
      </c>
      <c r="I61" s="8">
        <v>80830098</v>
      </c>
      <c r="J61" s="8">
        <v>1</v>
      </c>
      <c r="K61" s="8">
        <f t="shared" si="5"/>
        <v>1</v>
      </c>
      <c r="L61" s="1">
        <f t="shared" si="1"/>
        <v>0</v>
      </c>
      <c r="M61" s="1" t="b">
        <f t="shared" si="2"/>
        <v>1</v>
      </c>
    </row>
    <row r="62" spans="1:13" x14ac:dyDescent="0.25">
      <c r="A62" s="1" t="str">
        <f>VLOOKUP(C62,PSR!$F$1:$G$447,2,FALSE)</f>
        <v>H&amp;S 7IN1 72ML</v>
      </c>
      <c r="B62" s="1" t="s">
        <v>222</v>
      </c>
      <c r="C62" s="1">
        <v>83911276</v>
      </c>
      <c r="D62" s="62">
        <f>SUMIF(PSR!$G$2:$G$447,Sheet3!A62,PSR!$I$2:$I$447)</f>
        <v>33</v>
      </c>
      <c r="H62" s="1" t="str">
        <f>VLOOKUP(I62,CHOOSE({1,2},([1]IRA!$D$4:$D$285),[1]IRA!$C$4:$C$285),2,FALSE)</f>
        <v>BabyRub 25 ml</v>
      </c>
      <c r="I62" s="8">
        <v>80862572</v>
      </c>
      <c r="J62" s="8">
        <v>4</v>
      </c>
      <c r="K62" s="8">
        <f t="shared" si="5"/>
        <v>4</v>
      </c>
      <c r="L62" s="1">
        <f t="shared" si="1"/>
        <v>0</v>
      </c>
      <c r="M62" s="1" t="b">
        <f t="shared" si="2"/>
        <v>1</v>
      </c>
    </row>
    <row r="63" spans="1:13" x14ac:dyDescent="0.25">
      <c r="A63" s="1" t="str">
        <f>VLOOKUP(C63,PSR!$F$1:$G$447,2,FALSE)</f>
        <v>H&amp;S AHF 90ML</v>
      </c>
      <c r="B63" s="1" t="s">
        <v>224</v>
      </c>
      <c r="C63" s="1">
        <v>83911270</v>
      </c>
      <c r="D63" s="62">
        <f>SUMIF(PSR!$G$2:$G$447,Sheet3!A63,PSR!$I$2:$I$447)</f>
        <v>231</v>
      </c>
      <c r="H63" s="1" t="str">
        <f>VLOOKUP(I63,CHOOSE({1,2},([1]IRA!$D$4:$D$285),[1]IRA!$C$4:$C$285),2,FALSE)</f>
        <v>Vicks Double Power Standee Pouch 25s Menthol</v>
      </c>
      <c r="I63" s="8">
        <v>80895630</v>
      </c>
      <c r="J63" s="8">
        <v>6</v>
      </c>
      <c r="K63" s="8">
        <f t="shared" si="5"/>
        <v>6</v>
      </c>
      <c r="L63" s="1">
        <f t="shared" si="1"/>
        <v>0</v>
      </c>
      <c r="M63" s="1" t="b">
        <f t="shared" si="2"/>
        <v>1</v>
      </c>
    </row>
    <row r="64" spans="1:13" x14ac:dyDescent="0.25">
      <c r="A64" s="1" t="str">
        <f>VLOOKUP(C64,PSR!$F$1:$G$447,2,FALSE)</f>
        <v>H&amp;S BG 72ML</v>
      </c>
      <c r="B64" s="1" t="s">
        <v>226</v>
      </c>
      <c r="C64" s="1">
        <v>83911281</v>
      </c>
      <c r="D64" s="62">
        <f>SUMIF(PSR!$G$2:$G$447,Sheet3!A64,PSR!$I$2:$I$447)</f>
        <v>123</v>
      </c>
      <c r="H64" s="1" t="str">
        <f>VLOOKUP(I64,CHOOSE({1,2},([1]IRA!$D$4:$D$285),[1]IRA!$C$4:$C$285),2,FALSE)</f>
        <v>ZZZQUIL 10S</v>
      </c>
      <c r="I64" s="8">
        <v>80870946</v>
      </c>
      <c r="J64" s="8">
        <v>1</v>
      </c>
      <c r="K64" s="8">
        <f t="shared" si="5"/>
        <v>1</v>
      </c>
      <c r="L64" s="1">
        <f t="shared" si="1"/>
        <v>0</v>
      </c>
      <c r="M64" s="1" t="b">
        <f t="shared" si="2"/>
        <v>1</v>
      </c>
    </row>
    <row r="65" spans="1:13" x14ac:dyDescent="0.25">
      <c r="A65" s="1" t="str">
        <f>VLOOKUP(C65,PSR!$F$1:$G$447,2,FALSE)</f>
        <v>H&amp;S CM 90ML</v>
      </c>
      <c r="B65" s="1" t="s">
        <v>228</v>
      </c>
      <c r="C65" s="1">
        <v>80892904</v>
      </c>
      <c r="D65" s="62">
        <f>SUMIF(PSR!$G$2:$G$447,Sheet3!A65,PSR!$I$2:$I$447)</f>
        <v>414</v>
      </c>
      <c r="H65" s="1" t="str">
        <f>VLOOKUP(I65,CHOOSE({1,2},([1]IRA!$D$4:$D$285),[1]IRA!$C$4:$C$285),2,FALSE)</f>
        <v>Whspr ON Koala Pants L-XL 6s</v>
      </c>
      <c r="I65" s="8">
        <v>80870358</v>
      </c>
      <c r="J65" s="8">
        <v>81</v>
      </c>
      <c r="K65" s="8">
        <f t="shared" si="5"/>
        <v>81</v>
      </c>
      <c r="L65" s="1">
        <f t="shared" si="1"/>
        <v>0</v>
      </c>
      <c r="M65" s="1" t="b">
        <f t="shared" si="2"/>
        <v>1</v>
      </c>
    </row>
    <row r="66" spans="1:13" x14ac:dyDescent="0.25">
      <c r="A66" s="1" t="str">
        <f>VLOOKUP(C66,PSR!$F$1:$G$447,2,FALSE)</f>
        <v>H&amp;S SS 90ML</v>
      </c>
      <c r="B66" s="1" t="s">
        <v>230</v>
      </c>
      <c r="C66" s="1">
        <v>83911280</v>
      </c>
      <c r="D66" s="62">
        <f>SUMIF(PSR!$G$2:$G$447,Sheet3!A66,PSR!$I$2:$I$447)</f>
        <v>171</v>
      </c>
      <c r="H66" s="1" t="str">
        <f>VLOOKUP(I66,CHOOSE({1,2},([1]IRA!$D$4:$D$285),[1]IRA!$C$4:$C$285),2,FALSE)</f>
        <v>whspr Choice ON XXL 6s</v>
      </c>
      <c r="I66" s="8">
        <v>80869896</v>
      </c>
      <c r="J66" s="8">
        <v>450</v>
      </c>
      <c r="K66" s="8">
        <f t="shared" si="5"/>
        <v>450</v>
      </c>
      <c r="L66" s="1">
        <f t="shared" si="1"/>
        <v>0</v>
      </c>
      <c r="M66" s="1" t="b">
        <f t="shared" si="2"/>
        <v>1</v>
      </c>
    </row>
    <row r="67" spans="1:13" x14ac:dyDescent="0.25">
      <c r="A67" s="1" t="str">
        <f>VLOOKUP(C67,PSR!$F$1:$G$447,2,FALSE)</f>
        <v>PNTN LC 90ML</v>
      </c>
      <c r="B67" s="1" t="s">
        <v>232</v>
      </c>
      <c r="C67" s="1">
        <v>80879269</v>
      </c>
      <c r="D67" s="62">
        <f>SUMIF(PSR!$G$2:$G$447,Sheet3!A67,PSR!$I$2:$I$447)</f>
        <v>24</v>
      </c>
      <c r="H67" s="1" t="str">
        <f>VLOOKUP(I67,CHOOSE({1,2},([1]IRA!$D$4:$D$285),[1]IRA!$C$4:$C$285),2,FALSE)</f>
        <v>whspr Choice Ultra 6s</v>
      </c>
      <c r="I67" s="8">
        <v>83911635</v>
      </c>
      <c r="J67" s="8">
        <v>2584</v>
      </c>
      <c r="K67" s="8">
        <f t="shared" si="5"/>
        <v>2584</v>
      </c>
      <c r="L67" s="1">
        <f t="shared" ref="L67:L100" si="6">J67-K67</f>
        <v>0</v>
      </c>
      <c r="M67" s="1" t="b">
        <f t="shared" ref="M67:M100" si="7">IFERROR(L67=0,"CHECK")</f>
        <v>1</v>
      </c>
    </row>
    <row r="68" spans="1:13" x14ac:dyDescent="0.25">
      <c r="A68" s="1" t="str">
        <f>VLOOKUP(C68,PSR!$F$1:$G$447,2,FALSE)</f>
        <v>Pntn HFC 90ml</v>
      </c>
      <c r="B68" s="1" t="s">
        <v>234</v>
      </c>
      <c r="C68" s="1">
        <v>80879273</v>
      </c>
      <c r="D68" s="62">
        <f>SUMIF(PSR!$G$2:$G$447,Sheet3!A68,PSR!$I$2:$I$447)</f>
        <v>120</v>
      </c>
      <c r="H68" s="1" t="str">
        <f>VLOOKUP(I68,CHOOSE({1,2},([1]IRA!$D$4:$D$285),[1]IRA!$C$4:$C$285),2,FALSE)</f>
        <v>whspr Choice Wings 6s</v>
      </c>
      <c r="I68" s="8">
        <v>83911777</v>
      </c>
      <c r="J68" s="8">
        <v>204</v>
      </c>
      <c r="K68" s="8">
        <f t="shared" si="5"/>
        <v>220</v>
      </c>
      <c r="L68" s="1">
        <f t="shared" si="6"/>
        <v>-16</v>
      </c>
      <c r="M68" s="1" t="b">
        <f t="shared" si="7"/>
        <v>0</v>
      </c>
    </row>
    <row r="69" spans="1:13" x14ac:dyDescent="0.25">
      <c r="A69" s="1" t="str">
        <f>VLOOKUP(C69,PSR!$F$1:$G$447,2,FALSE)</f>
        <v>PNTN CONDI BOND REPAIR 200ML</v>
      </c>
      <c r="B69" s="1" t="s">
        <v>236</v>
      </c>
      <c r="C69" s="1">
        <v>80876990</v>
      </c>
      <c r="D69" s="62">
        <f>SUMIF(PSR!$G$2:$G$447,Sheet3!A69,PSR!$I$2:$I$447)</f>
        <v>2</v>
      </c>
      <c r="H69" s="1" t="str">
        <f>VLOOKUP(I69,CHOOSE({1,2},([1]IRA!$D$4:$D$285),[1]IRA!$C$4:$C$285),2,FALSE)</f>
        <v>whspr Choice XL 6s</v>
      </c>
      <c r="I69" s="8">
        <v>83911783</v>
      </c>
      <c r="J69" s="8">
        <v>200</v>
      </c>
      <c r="K69" s="8">
        <f t="shared" si="5"/>
        <v>200</v>
      </c>
      <c r="L69" s="1">
        <f t="shared" si="6"/>
        <v>0</v>
      </c>
      <c r="M69" s="1" t="b">
        <f t="shared" si="7"/>
        <v>1</v>
      </c>
    </row>
    <row r="70" spans="1:13" x14ac:dyDescent="0.25">
      <c r="A70" s="1" t="str">
        <f>VLOOKUP(C70,PSR!$F$1:$G$447,2,FALSE)</f>
        <v>Pntn condi Collagen 3MM 200ml</v>
      </c>
      <c r="B70" s="1" t="s">
        <v>238</v>
      </c>
      <c r="C70" s="1">
        <v>80830097</v>
      </c>
      <c r="D70" s="62">
        <f>SUMIF(PSR!$G$2:$G$447,Sheet3!A70,PSR!$I$2:$I$447)</f>
        <v>5</v>
      </c>
      <c r="H70" s="1" t="s">
        <v>171</v>
      </c>
      <c r="I70" s="8">
        <v>80869511</v>
      </c>
      <c r="J70" s="8">
        <v>11</v>
      </c>
      <c r="K70" s="8">
        <f t="shared" si="5"/>
        <v>11</v>
      </c>
      <c r="L70" s="1">
        <f t="shared" si="6"/>
        <v>0</v>
      </c>
      <c r="M70" s="1" t="b">
        <f t="shared" si="7"/>
        <v>1</v>
      </c>
    </row>
    <row r="71" spans="1:13" x14ac:dyDescent="0.25">
      <c r="A71" s="1" t="str">
        <f>VLOOKUP(C71,PSR!$F$1:$G$447,2,FALSE)</f>
        <v>Olay NA IGF 20gm</v>
      </c>
      <c r="B71" s="1" t="s">
        <v>240</v>
      </c>
      <c r="C71" s="1">
        <v>80878182</v>
      </c>
      <c r="D71" s="62">
        <f>SUMIF(PSR!$G$2:$G$447,Sheet3!A71,PSR!$I$2:$I$447)</f>
        <v>42</v>
      </c>
      <c r="H71" s="1" t="str">
        <f>VLOOKUP(I71,CHOOSE({1,2},([1]IRA!$D$4:$D$285),[1]IRA!$C$4:$C$285),2,FALSE)</f>
        <v>whspr Liners 20s</v>
      </c>
      <c r="I71" s="8">
        <v>80870015</v>
      </c>
      <c r="J71" s="8">
        <v>3</v>
      </c>
      <c r="K71" s="8">
        <f t="shared" si="5"/>
        <v>3</v>
      </c>
      <c r="L71" s="1">
        <f t="shared" si="6"/>
        <v>0</v>
      </c>
      <c r="M71" s="1" t="b">
        <f t="shared" si="7"/>
        <v>1</v>
      </c>
    </row>
    <row r="72" spans="1:13" x14ac:dyDescent="0.25">
      <c r="A72" s="1" t="str">
        <f>VLOOKUP(C72,PSR!$F$1:$G$447,2,FALSE)</f>
        <v>Fusion Power Raz</v>
      </c>
      <c r="B72" s="1" t="s">
        <v>249</v>
      </c>
      <c r="C72" s="1">
        <v>80797472</v>
      </c>
      <c r="D72" s="62">
        <f>SUMIF(PSR!$G$2:$G$447,Sheet3!A72,PSR!$I$2:$I$447)</f>
        <v>1</v>
      </c>
      <c r="H72" s="1" t="str">
        <f>VLOOKUP(I72,CHOOSE({1,2},([1]IRA!$D$4:$D$285),[1]IRA!$C$4:$C$285),2,FALSE)</f>
        <v>Whspr ON Koala Pants M-L 6s</v>
      </c>
      <c r="I72" s="8">
        <v>80870357</v>
      </c>
      <c r="J72" s="8">
        <v>178</v>
      </c>
      <c r="K72" s="8">
        <f t="shared" si="5"/>
        <v>178</v>
      </c>
      <c r="L72" s="1">
        <f t="shared" si="6"/>
        <v>0</v>
      </c>
      <c r="M72" s="1" t="b">
        <f t="shared" si="7"/>
        <v>1</v>
      </c>
    </row>
    <row r="73" spans="1:13" x14ac:dyDescent="0.25">
      <c r="A73" s="1" t="str">
        <f>VLOOKUP(C73,PSR!$F$1:$G$447,2,FALSE)</f>
        <v>Fusion Raz</v>
      </c>
      <c r="B73" s="1" t="s">
        <v>251</v>
      </c>
      <c r="C73" s="1">
        <v>80797470</v>
      </c>
      <c r="D73" s="62">
        <f>SUMIF(PSR!$G$2:$G$447,Sheet3!A73,PSR!$I$2:$I$447)</f>
        <v>3</v>
      </c>
      <c r="H73" s="1" t="str">
        <f>VLOOKUP(I73,CHOOSE({1,2},([1]IRA!$D$4:$D$285),[1]IRA!$C$4:$C$285),2,FALSE)</f>
        <v>whspr Ult ON XXL 7s</v>
      </c>
      <c r="I73" s="8">
        <v>83916746</v>
      </c>
      <c r="J73" s="8">
        <v>57</v>
      </c>
      <c r="K73" s="8">
        <f t="shared" si="5"/>
        <v>57</v>
      </c>
      <c r="L73" s="1">
        <f t="shared" si="6"/>
        <v>0</v>
      </c>
      <c r="M73" s="1" t="b">
        <f t="shared" si="7"/>
        <v>1</v>
      </c>
    </row>
    <row r="74" spans="1:13" x14ac:dyDescent="0.25">
      <c r="A74" s="1" t="str">
        <f>VLOOKUP(C74,PSR!$F$1:$G$447,2,FALSE)</f>
        <v>Turbo Mach-3 Rzr Flexi</v>
      </c>
      <c r="B74" s="1" t="s">
        <v>253</v>
      </c>
      <c r="C74" s="1">
        <v>80803712</v>
      </c>
      <c r="D74" s="62">
        <f>SUMIF(PSR!$G$2:$G$447,Sheet3!A74,PSR!$I$2:$I$447)</f>
        <v>2</v>
      </c>
      <c r="H74" s="1" t="str">
        <f>VLOOKUP(I74,CHOOSE({1,2},([1]IRA!$D$4:$D$285),[1]IRA!$C$4:$C$285),2,FALSE)</f>
        <v>whspr Ult XXXL ON 4s</v>
      </c>
      <c r="I74" s="8">
        <v>80887674</v>
      </c>
      <c r="J74" s="8">
        <v>24</v>
      </c>
      <c r="K74" s="8">
        <f t="shared" si="5"/>
        <v>24</v>
      </c>
      <c r="L74" s="1">
        <f t="shared" si="6"/>
        <v>0</v>
      </c>
      <c r="M74" s="1" t="b">
        <f t="shared" si="7"/>
        <v>1</v>
      </c>
    </row>
    <row r="75" spans="1:13" x14ac:dyDescent="0.25">
      <c r="A75" s="1" t="str">
        <f>VLOOKUP(C75,PSR!$F$1:$G$447,2,FALSE)</f>
        <v>Vector3 Cart 4s</v>
      </c>
      <c r="B75" s="1" t="s">
        <v>255</v>
      </c>
      <c r="C75" s="1">
        <v>80818346</v>
      </c>
      <c r="D75" s="62">
        <f>SUMIF(PSR!$G$2:$G$447,Sheet3!A75,PSR!$I$2:$I$447)</f>
        <v>3</v>
      </c>
      <c r="H75" s="1" t="str">
        <f>VLOOKUP(I75,CHOOSE({1,2},([1]IRA!$D$4:$D$285),[1]IRA!$C$4:$C$285),2,FALSE)</f>
        <v>Whspr Soft XL 6s</v>
      </c>
      <c r="I75" s="8">
        <v>83914233</v>
      </c>
      <c r="J75" s="8">
        <v>18</v>
      </c>
      <c r="K75" s="8">
        <f t="shared" si="5"/>
        <v>18</v>
      </c>
      <c r="L75" s="1">
        <f t="shared" si="6"/>
        <v>0</v>
      </c>
      <c r="M75" s="1" t="b">
        <f t="shared" si="7"/>
        <v>1</v>
      </c>
    </row>
    <row r="76" spans="1:13" x14ac:dyDescent="0.25">
      <c r="A76" s="1" t="str">
        <f>VLOOKUP(C76,PSR!$F$1:$G$447,2,FALSE)</f>
        <v>OB Crisscross Antiplaq Neem B2G2 Sft</v>
      </c>
      <c r="B76" s="1" t="s">
        <v>257</v>
      </c>
      <c r="C76" s="1">
        <v>80895783</v>
      </c>
      <c r="D76" s="62">
        <f>SUMIF(PSR!$G$2:$G$447,Sheet3!A76,PSR!$I$2:$I$447)</f>
        <v>4</v>
      </c>
      <c r="H76" s="1" t="str">
        <f>VLOOKUP(I76,CHOOSE({1,2},([1]IRA!$D$4:$D$285),[1]IRA!$C$4:$C$285),2,FALSE)</f>
        <v>whspr Ultra XL+ 7s CFC</v>
      </c>
      <c r="I76" s="8">
        <v>80893410</v>
      </c>
      <c r="J76" s="8">
        <v>99</v>
      </c>
      <c r="K76" s="8">
        <f t="shared" si="5"/>
        <v>99</v>
      </c>
      <c r="L76" s="1">
        <f t="shared" si="6"/>
        <v>0</v>
      </c>
      <c r="M76" s="1" t="b">
        <f t="shared" si="7"/>
        <v>1</v>
      </c>
    </row>
    <row r="77" spans="1:13" x14ac:dyDescent="0.25">
      <c r="A77" s="1" t="str">
        <f>VLOOKUP(C77,PSR!$F$1:$G$447,2,FALSE)</f>
        <v>OB Crisscross Bact Blast B2G1 Sft</v>
      </c>
      <c r="B77" s="1" t="s">
        <v>259</v>
      </c>
      <c r="C77" s="1">
        <v>80894418</v>
      </c>
      <c r="D77" s="62">
        <f>SUMIF(PSR!$G$2:$G$447,Sheet3!A77,PSR!$I$2:$I$447)</f>
        <v>2</v>
      </c>
      <c r="H77" s="1" t="str">
        <f>VLOOKUP(I77,CHOOSE({1,2},([1]IRA!$D$4:$D$285),[1]IRA!$C$4:$C$285),2,FALSE)</f>
        <v>Foam (Charcoal) 200ml</v>
      </c>
      <c r="I77" s="8">
        <v>80866728</v>
      </c>
      <c r="J77" s="8">
        <v>5</v>
      </c>
      <c r="K77" s="8">
        <f t="shared" si="5"/>
        <v>5</v>
      </c>
      <c r="L77" s="1">
        <f t="shared" si="6"/>
        <v>0</v>
      </c>
      <c r="M77" s="1" t="b">
        <f t="shared" si="7"/>
        <v>1</v>
      </c>
    </row>
    <row r="78" spans="1:13" x14ac:dyDescent="0.25">
      <c r="A78" s="1" t="str">
        <f>VLOOKUP(C78,PSR!$F$1:$G$447,2,FALSE)</f>
        <v>OB Crisscross Rs50 3s</v>
      </c>
      <c r="B78" s="1" t="s">
        <v>261</v>
      </c>
      <c r="C78" s="1">
        <v>80894404</v>
      </c>
      <c r="D78" s="62">
        <f>SUMIF(PSR!$G$2:$G$447,Sheet3!A78,PSR!$I$2:$I$447)</f>
        <v>2</v>
      </c>
      <c r="H78" s="1" t="str">
        <f>VLOOKUP(I78,CHOOSE({1,2},([1]IRA!$D$4:$D$285),[1]IRA!$C$4:$C$285),2,FALSE)</f>
        <v>Foam (Lmn) 200ml</v>
      </c>
      <c r="I78" s="8">
        <v>80866725</v>
      </c>
      <c r="J78" s="8">
        <v>5</v>
      </c>
      <c r="K78" s="8">
        <f t="shared" si="5"/>
        <v>5</v>
      </c>
      <c r="L78" s="1">
        <f t="shared" si="6"/>
        <v>0</v>
      </c>
      <c r="M78" s="1" t="b">
        <f t="shared" si="7"/>
        <v>1</v>
      </c>
    </row>
    <row r="79" spans="1:13" x14ac:dyDescent="0.25">
      <c r="A79" s="1" t="str">
        <f>VLOOKUP(C79,PSR!$F$1:$G$447,2,FALSE)</f>
        <v>OB KIDS CHOTA BHEEM 3S</v>
      </c>
      <c r="B79" s="1" t="s">
        <v>263</v>
      </c>
      <c r="C79" s="1">
        <v>80895602</v>
      </c>
      <c r="D79" s="62">
        <f>SUMIF(PSR!$G$2:$G$447,Sheet3!A79,PSR!$I$2:$I$447)</f>
        <v>16</v>
      </c>
      <c r="H79" s="1" t="str">
        <f>VLOOKUP(I79,CHOOSE({1,2},([1]IRA!$D$4:$D$285),[1]IRA!$C$4:$C$285),2,FALSE)</f>
        <v>Vector3 Rzr</v>
      </c>
      <c r="I79" s="8">
        <v>80818341</v>
      </c>
      <c r="J79" s="8">
        <v>5</v>
      </c>
      <c r="K79" s="8">
        <f t="shared" si="5"/>
        <v>5</v>
      </c>
      <c r="L79" s="1">
        <f t="shared" si="6"/>
        <v>0</v>
      </c>
      <c r="M79" s="1" t="b">
        <f t="shared" si="7"/>
        <v>1</v>
      </c>
    </row>
    <row r="80" spans="1:13" x14ac:dyDescent="0.25">
      <c r="A80" s="1" t="str">
        <f>VLOOKUP(C80,PSR!$F$1:$G$447,2,FALSE)</f>
        <v>Foam (Mnth) 200ml</v>
      </c>
      <c r="B80" s="1" t="s">
        <v>265</v>
      </c>
      <c r="C80" s="1">
        <v>80866727</v>
      </c>
      <c r="D80" s="62">
        <f>SUMIF(PSR!$G$2:$G$447,Sheet3!A80,PSR!$I$2:$I$447)</f>
        <v>1</v>
      </c>
      <c r="H80" s="1" t="str">
        <f>VLOOKUP(I80,CHOOSE({1,2},([1]IRA!$D$4:$D$285),[1]IRA!$C$4:$C$285),2,FALSE)</f>
        <v>ATOM ORIGINAL 150ML</v>
      </c>
      <c r="I80" s="8">
        <v>80830411</v>
      </c>
      <c r="J80" s="8">
        <v>6</v>
      </c>
      <c r="K80" s="8">
        <f t="shared" si="5"/>
        <v>6</v>
      </c>
      <c r="L80" s="1">
        <f t="shared" si="6"/>
        <v>0</v>
      </c>
      <c r="M80" s="1" t="b">
        <f t="shared" si="7"/>
        <v>1</v>
      </c>
    </row>
    <row r="81" spans="1:13" x14ac:dyDescent="0.25">
      <c r="A81" s="1" t="str">
        <f>VLOOKUP(C81,PSR!$F$1:$G$447,2,FALSE)</f>
        <v>Foam (Reg) 200ml</v>
      </c>
      <c r="B81" s="1" t="s">
        <v>267</v>
      </c>
      <c r="C81" s="1">
        <v>80866724</v>
      </c>
      <c r="D81" s="62">
        <f>SUMIF(PSR!$G$2:$G$447,Sheet3!A81,PSR!$I$2:$I$447)</f>
        <v>1</v>
      </c>
      <c r="H81" s="1" t="str">
        <f>VLOOKUP(I81,CHOOSE({1,2},([1]IRA!$D$4:$D$285),[1]IRA!$C$4:$C$285),2,FALSE)</f>
        <v>OB CAPH Power brush Sft</v>
      </c>
      <c r="I81" s="8">
        <v>80843635</v>
      </c>
      <c r="J81" s="8">
        <v>1</v>
      </c>
      <c r="K81" s="8">
        <f t="shared" si="5"/>
        <v>1</v>
      </c>
      <c r="L81" s="1">
        <f t="shared" si="6"/>
        <v>0</v>
      </c>
      <c r="M81" s="1" t="b">
        <f t="shared" si="7"/>
        <v>1</v>
      </c>
    </row>
    <row r="82" spans="1:13" x14ac:dyDescent="0.25">
      <c r="A82" s="1" t="str">
        <f>VLOOKUP(C82,PSR!$F$1:$G$447,2,FALSE)</f>
        <v>Cream GIL Lime 93gm</v>
      </c>
      <c r="B82" s="1" t="s">
        <v>269</v>
      </c>
      <c r="C82" s="1">
        <v>80862826</v>
      </c>
      <c r="D82" s="62">
        <f>SUMIF(PSR!$G$2:$G$447,Sheet3!A82,PSR!$I$2:$I$447)</f>
        <v>6</v>
      </c>
      <c r="H82" s="1" t="str">
        <f>VLOOKUP(I82,CHOOSE({1,2},([1]IRA!$D$4:$D$285),[1]IRA!$C$4:$C$285),2,FALSE)</f>
        <v>PNTN CONDI BOND REPAIR 200ML</v>
      </c>
      <c r="I82" s="8">
        <v>80876990</v>
      </c>
      <c r="J82" s="8">
        <v>2</v>
      </c>
      <c r="K82" s="8">
        <f t="shared" si="5"/>
        <v>2</v>
      </c>
      <c r="L82" s="1">
        <f t="shared" si="6"/>
        <v>0</v>
      </c>
      <c r="M82" s="1" t="b">
        <f t="shared" si="7"/>
        <v>1</v>
      </c>
    </row>
    <row r="83" spans="1:13" x14ac:dyDescent="0.25">
      <c r="A83" s="1" t="str">
        <f>VLOOKUP(C83,PSR!$F$1:$G$447,2,FALSE)</f>
        <v>TSG (Sen) 60g</v>
      </c>
      <c r="B83" s="1" t="s">
        <v>271</v>
      </c>
      <c r="C83" s="1">
        <v>80753181</v>
      </c>
      <c r="D83" s="62">
        <f>SUMIF(PSR!$G$2:$G$447,Sheet3!A83,PSR!$I$2:$I$447)</f>
        <v>3</v>
      </c>
      <c r="H83" s="1" t="str">
        <f>VLOOKUP(I83,CHOOSE({1,2},([1]IRA!$D$4:$D$285),[1]IRA!$C$4:$C$285),2,FALSE)</f>
        <v>Vaporub 25gm</v>
      </c>
      <c r="I83" s="8">
        <v>83916219</v>
      </c>
      <c r="J83" s="8">
        <v>8</v>
      </c>
      <c r="K83" s="8">
        <f t="shared" si="5"/>
        <v>8</v>
      </c>
      <c r="L83" s="1">
        <f t="shared" si="6"/>
        <v>0</v>
      </c>
      <c r="M83" s="1" t="b">
        <f t="shared" si="7"/>
        <v>1</v>
      </c>
    </row>
    <row r="84" spans="1:13" x14ac:dyDescent="0.25">
      <c r="A84" s="1" t="str">
        <f>VLOOKUP(C84,PSR!$F$1:$G$447,2,FALSE)</f>
        <v>whspr Liners 20s</v>
      </c>
      <c r="B84" s="1" t="s">
        <v>273</v>
      </c>
      <c r="C84" s="1">
        <v>80870015</v>
      </c>
      <c r="D84" s="62">
        <f>SUMIF(PSR!$G$2:$G$447,Sheet3!A84,PSR!$I$2:$I$447)</f>
        <v>3</v>
      </c>
      <c r="H84" s="1" t="str">
        <f>VLOOKUP(I84,CHOOSE({1,2},([1]IRA!$D$4:$D$285),[1]IRA!$C$4:$C$285),2,FALSE)</f>
        <v>AmbPr Air LB</v>
      </c>
      <c r="I84" s="8">
        <v>80780342</v>
      </c>
      <c r="J84" s="8">
        <v>1</v>
      </c>
      <c r="K84" s="8">
        <f t="shared" si="5"/>
        <v>1</v>
      </c>
      <c r="L84" s="1">
        <f t="shared" si="6"/>
        <v>0</v>
      </c>
      <c r="M84" s="1" t="b">
        <f t="shared" si="7"/>
        <v>1</v>
      </c>
    </row>
    <row r="85" spans="1:13" x14ac:dyDescent="0.25">
      <c r="A85" s="1" t="str">
        <f>VLOOKUP(C85,PSR!$F$1:$G$447,2,FALSE)</f>
        <v>Whspr Soft XL 6s</v>
      </c>
      <c r="B85" s="1" t="s">
        <v>275</v>
      </c>
      <c r="C85" s="1">
        <v>83914233</v>
      </c>
      <c r="D85" s="62">
        <f>SUMIF(PSR!$G$2:$G$447,Sheet3!A85,PSR!$I$2:$I$447)</f>
        <v>18</v>
      </c>
      <c r="H85" s="1" t="str">
        <f>VLOOKUP(I85,CHOOSE({1,2},([1]IRA!$D$4:$D$285),[1]IRA!$C$4:$C$285),2,FALSE)</f>
        <v>Pntn condi Collagen 3MM 200ml</v>
      </c>
      <c r="I85" s="8">
        <v>80830097</v>
      </c>
      <c r="J85" s="8">
        <v>5</v>
      </c>
      <c r="K85" s="8">
        <f t="shared" si="5"/>
        <v>5</v>
      </c>
      <c r="L85" s="1">
        <f t="shared" si="6"/>
        <v>0</v>
      </c>
      <c r="M85" s="1" t="b">
        <f t="shared" si="7"/>
        <v>1</v>
      </c>
    </row>
    <row r="86" spans="1:13" x14ac:dyDescent="0.25">
      <c r="A86" s="1" t="str">
        <f>VLOOKUP(C86,PSR!$F$1:$G$447,2,FALSE)</f>
        <v>Inhaler Keychain</v>
      </c>
      <c r="B86" s="1" t="s">
        <v>277</v>
      </c>
      <c r="C86" s="1">
        <v>80885888</v>
      </c>
      <c r="D86" s="62">
        <f>SUMIF(PSR!$G$2:$G$447,Sheet3!A86,PSR!$I$2:$I$447)</f>
        <v>9</v>
      </c>
      <c r="H86" s="1" t="str">
        <f>VLOOKUP(I86,CHOOSE({1,2},([1]IRA!$D$4:$D$285),[1]IRA!$C$4:$C$285),2,FALSE)</f>
        <v>whspr Ult ON XXL+ 6s</v>
      </c>
      <c r="I86" s="8">
        <v>83908992</v>
      </c>
      <c r="J86" s="8">
        <v>2</v>
      </c>
      <c r="K86" s="8">
        <f t="shared" si="5"/>
        <v>2</v>
      </c>
      <c r="L86" s="1">
        <f t="shared" si="6"/>
        <v>0</v>
      </c>
      <c r="M86" s="1" t="b">
        <f t="shared" si="7"/>
        <v>1</v>
      </c>
    </row>
    <row r="87" spans="1:13" x14ac:dyDescent="0.25">
      <c r="A87" s="1" t="str">
        <f>VLOOKUP(C87,PSR!$F$1:$G$447,2,FALSE)</f>
        <v>ZZZQUIL 10S</v>
      </c>
      <c r="B87" s="1" t="s">
        <v>279</v>
      </c>
      <c r="C87" s="1">
        <v>80870946</v>
      </c>
      <c r="D87" s="62">
        <f>SUMIF(PSR!$G$2:$G$447,Sheet3!A87,PSR!$I$2:$I$447)</f>
        <v>1</v>
      </c>
      <c r="H87" s="1" t="str">
        <f>VLOOKUP(I87,CHOOSE({1,2},([1]IRA!$D$4:$D$285),[1]IRA!$C$4:$C$285),2,FALSE)</f>
        <v>Foam (Mnth) 200ml</v>
      </c>
      <c r="I87" s="8">
        <v>80866727</v>
      </c>
      <c r="J87" s="8">
        <v>1</v>
      </c>
      <c r="K87" s="8">
        <f t="shared" si="5"/>
        <v>1</v>
      </c>
      <c r="L87" s="1">
        <f t="shared" si="6"/>
        <v>0</v>
      </c>
      <c r="M87" s="1" t="b">
        <f t="shared" si="7"/>
        <v>1</v>
      </c>
    </row>
    <row r="88" spans="1:13" x14ac:dyDescent="0.25">
      <c r="A88" s="1" t="str">
        <f>VLOOKUP(C88,PSR!$F$1:$G$447,2,FALSE)</f>
        <v>Vicks Double Power Standee Pouch 25s Menthol</v>
      </c>
      <c r="B88" s="1" t="s">
        <v>281</v>
      </c>
      <c r="C88" s="1">
        <v>80895630</v>
      </c>
      <c r="D88" s="62">
        <f>SUMIF(PSR!$G$2:$G$447,Sheet3!A88,PSR!$I$2:$I$447)</f>
        <v>6</v>
      </c>
      <c r="H88" s="1" t="str">
        <f>VLOOKUP(I88,CHOOSE({1,2},([1]IRA!$D$4:$D$285),[1]IRA!$C$4:$C$285),2,FALSE)</f>
        <v>Turbo Mach-3 Rzr Flexi</v>
      </c>
      <c r="I88" s="8">
        <v>80803712</v>
      </c>
      <c r="J88" s="8">
        <v>2</v>
      </c>
      <c r="K88" s="8">
        <f t="shared" si="5"/>
        <v>2</v>
      </c>
      <c r="L88" s="1">
        <f t="shared" si="6"/>
        <v>0</v>
      </c>
      <c r="M88" s="1" t="b">
        <f t="shared" si="7"/>
        <v>1</v>
      </c>
    </row>
    <row r="89" spans="1:13" x14ac:dyDescent="0.25">
      <c r="A89" s="1" t="str">
        <f>VLOOKUP(C89,PSR!$F$1:$G$447,2,FALSE)</f>
        <v>ASL MUSK 100ML</v>
      </c>
      <c r="B89" s="1" t="s">
        <v>283</v>
      </c>
      <c r="C89" s="1">
        <v>80830420</v>
      </c>
      <c r="D89" s="62">
        <f>SUMIF(PSR!$G$2:$G$447,Sheet3!A89,PSR!$I$2:$I$447)</f>
        <v>1</v>
      </c>
      <c r="H89" s="1" t="str">
        <f>VLOOKUP(I89,CHOOSE({1,2},([1]IRA!$D$4:$D$285),[1]IRA!$C$4:$C$285),2,FALSE)</f>
        <v>RED Pants Jumbo New LG</v>
      </c>
      <c r="I89" s="8">
        <v>83924708</v>
      </c>
      <c r="J89" s="8">
        <v>40</v>
      </c>
      <c r="K89" s="8">
        <f t="shared" si="5"/>
        <v>45</v>
      </c>
      <c r="L89" s="1">
        <f t="shared" si="6"/>
        <v>-5</v>
      </c>
      <c r="M89" s="1" t="b">
        <f t="shared" si="7"/>
        <v>0</v>
      </c>
    </row>
    <row r="90" spans="1:13" x14ac:dyDescent="0.25">
      <c r="A90" s="1" t="str">
        <f>VLOOKUP(C90,PSR!$F$1:$G$447,2,FALSE)</f>
        <v>OS DEO LIONPRIDE</v>
      </c>
      <c r="B90" s="1" t="s">
        <v>285</v>
      </c>
      <c r="C90" s="1">
        <v>80739423</v>
      </c>
      <c r="D90" s="62">
        <f>SUMIF(PSR!$G$2:$G$447,Sheet3!A90,PSR!$I$2:$I$447)</f>
        <v>2</v>
      </c>
      <c r="H90" s="1" t="str">
        <f>VLOOKUP(I90,CHOOSE({1,2},([1]IRA!$D$4:$D$285),[1]IRA!$C$4:$C$285),2,FALSE)</f>
        <v>whspr Choice Wings 6s</v>
      </c>
      <c r="I90" s="8">
        <v>83925440</v>
      </c>
      <c r="J90" s="8">
        <v>44</v>
      </c>
      <c r="K90" s="8">
        <f t="shared" si="5"/>
        <v>220</v>
      </c>
      <c r="L90" s="1">
        <f t="shared" si="6"/>
        <v>-176</v>
      </c>
      <c r="M90" s="1" t="b">
        <f t="shared" si="7"/>
        <v>0</v>
      </c>
    </row>
    <row r="91" spans="1:13" x14ac:dyDescent="0.25">
      <c r="A91" s="1" t="str">
        <f>VLOOKUP(C91,PSR!$F$1:$G$447,2,FALSE)</f>
        <v>OS POCKET STREAMER OF 2 LIONPRIDE</v>
      </c>
      <c r="B91" s="1" t="s">
        <v>287</v>
      </c>
      <c r="C91" s="1">
        <v>80762958</v>
      </c>
      <c r="D91" s="62">
        <f>SUMIF(PSR!$G$2:$G$447,Sheet3!A91,PSR!$I$2:$I$447)</f>
        <v>1</v>
      </c>
      <c r="H91" s="1" t="str">
        <f>VLOOKUP(I91,CHOOSE({1,2},([1]IRA!$D$4:$D$285),[1]IRA!$C$4:$C$285),2,FALSE)</f>
        <v>OB Sens Care 5s Pack</v>
      </c>
      <c r="I91" s="8">
        <v>80895791</v>
      </c>
      <c r="J91" s="8">
        <v>2</v>
      </c>
      <c r="K91" s="8">
        <f t="shared" si="5"/>
        <v>0</v>
      </c>
      <c r="L91" s="1">
        <f t="shared" si="6"/>
        <v>2</v>
      </c>
      <c r="M91" s="1" t="b">
        <f t="shared" si="7"/>
        <v>0</v>
      </c>
    </row>
    <row r="92" spans="1:13" x14ac:dyDescent="0.25">
      <c r="A92" s="1" t="str">
        <f>VLOOKUP(C92,PSR!$F$1:$G$447,2,FALSE)</f>
        <v>Active Baby LG Econ</v>
      </c>
      <c r="B92" s="1" t="s">
        <v>289</v>
      </c>
      <c r="C92" s="1">
        <v>80895482</v>
      </c>
      <c r="D92" s="62">
        <f>SUMIF(PSR!$G$2:$G$447,Sheet3!A92,PSR!$I$2:$I$447)</f>
        <v>2</v>
      </c>
      <c r="H92" s="1" t="str">
        <f>VLOOKUP(I92,CHOOSE({1,2},([1]IRA!$D$4:$D$285),[1]IRA!$C$4:$C$285),2,FALSE)</f>
        <v>OS DEO LIONPRIDE</v>
      </c>
      <c r="I92" s="8">
        <v>80739423</v>
      </c>
      <c r="J92" s="8">
        <v>2</v>
      </c>
      <c r="K92" s="8">
        <f t="shared" si="5"/>
        <v>2</v>
      </c>
      <c r="L92" s="1">
        <f t="shared" si="6"/>
        <v>0</v>
      </c>
      <c r="M92" s="1" t="b">
        <f t="shared" si="7"/>
        <v>1</v>
      </c>
    </row>
    <row r="93" spans="1:13" x14ac:dyDescent="0.25">
      <c r="A93" s="1" t="str">
        <f>VLOOKUP(C93,PSR!$F$1:$G$447,2,FALSE)</f>
        <v>RED Pants Jumbo New LG</v>
      </c>
      <c r="B93" s="1" t="s">
        <v>290</v>
      </c>
      <c r="C93" s="1">
        <v>83924708</v>
      </c>
      <c r="D93" s="62">
        <f>SUMIF(PSR!$G$2:$G$447,Sheet3!A93,PSR!$I$2:$I$447)</f>
        <v>45</v>
      </c>
      <c r="H93" s="1" t="str">
        <f>VLOOKUP(I93,CHOOSE({1,2},([1]IRA!$D$4:$D$285),[1]IRA!$C$4:$C$285),2,FALSE)</f>
        <v>ASL MUSK 100ML</v>
      </c>
      <c r="I93" s="8">
        <v>80830420</v>
      </c>
      <c r="J93" s="8">
        <v>1</v>
      </c>
      <c r="K93" s="8">
        <f t="shared" si="5"/>
        <v>1</v>
      </c>
      <c r="L93" s="1">
        <f t="shared" si="6"/>
        <v>0</v>
      </c>
      <c r="M93" s="1" t="b">
        <f t="shared" si="7"/>
        <v>1</v>
      </c>
    </row>
    <row r="94" spans="1:13" x14ac:dyDescent="0.25">
      <c r="A94" s="1" t="str">
        <f>VLOOKUP(C94,PSR!$F$1:$G$447,2,FALSE)</f>
        <v>BLUE Pants Regs LG</v>
      </c>
      <c r="B94" s="1" t="s">
        <v>292</v>
      </c>
      <c r="C94" s="1">
        <v>80895503</v>
      </c>
      <c r="D94" s="62">
        <f>SUMIF(PSR!$G$2:$G$447,Sheet3!A94,PSR!$I$2:$I$447)</f>
        <v>6</v>
      </c>
      <c r="H94" s="1" t="str">
        <f>VLOOKUP(I94,CHOOSE({1,2},([1]IRA!$D$4:$D$285),[1]IRA!$C$4:$C$285),2,FALSE)</f>
        <v>TSG (Mst) 60g</v>
      </c>
      <c r="I94" s="8">
        <v>80753180</v>
      </c>
      <c r="J94" s="8">
        <v>3</v>
      </c>
      <c r="K94" s="8">
        <f t="shared" si="5"/>
        <v>0</v>
      </c>
      <c r="L94" s="1">
        <f t="shared" si="6"/>
        <v>3</v>
      </c>
      <c r="M94" s="1" t="b">
        <f t="shared" si="7"/>
        <v>0</v>
      </c>
    </row>
    <row r="95" spans="1:13" x14ac:dyDescent="0.25">
      <c r="A95" s="1" t="str">
        <f>VLOOKUP(C95,PSR!$F$1:$G$447,2,FALSE)</f>
        <v>BLUE Pants Regs MD</v>
      </c>
      <c r="B95" s="1" t="s">
        <v>294</v>
      </c>
      <c r="C95" s="1">
        <v>80895502</v>
      </c>
      <c r="D95" s="62">
        <f>SUMIF(PSR!$G$2:$G$447,Sheet3!A95,PSR!$I$2:$I$447)</f>
        <v>6</v>
      </c>
      <c r="H95" s="1" t="str">
        <f>VLOOKUP(I95,CHOOSE({1,2},([1]IRA!$D$4:$D$285),[1]IRA!$C$4:$C$285),2,FALSE)</f>
        <v>Vector3 Cart 4s</v>
      </c>
      <c r="I95" s="8">
        <v>80818346</v>
      </c>
      <c r="J95" s="8">
        <v>3</v>
      </c>
      <c r="K95" s="8">
        <f t="shared" si="5"/>
        <v>3</v>
      </c>
      <c r="L95" s="1">
        <f t="shared" si="6"/>
        <v>0</v>
      </c>
      <c r="M95" s="1" t="b">
        <f t="shared" si="7"/>
        <v>1</v>
      </c>
    </row>
    <row r="96" spans="1:13" x14ac:dyDescent="0.25">
      <c r="A96" s="1" t="str">
        <f>VLOOKUP(C96,PSR!$F$1:$G$447,2,FALSE)</f>
        <v>BLUE Pants Regs XL</v>
      </c>
      <c r="B96" s="1" t="s">
        <v>296</v>
      </c>
      <c r="C96" s="1">
        <v>80895504</v>
      </c>
      <c r="D96" s="62">
        <f>SUMIF(PSR!$G$2:$G$447,Sheet3!A96,PSR!$I$2:$I$447)</f>
        <v>10</v>
      </c>
      <c r="H96" s="1" t="str">
        <f>VLOOKUP(I96,CHOOSE({1,2},([1]IRA!$D$4:$D$285),[1]IRA!$C$4:$C$285),2,FALSE)</f>
        <v>H&amp;S 2in1 SS 72ml</v>
      </c>
      <c r="I96" s="8">
        <v>83911268</v>
      </c>
      <c r="J96" s="8">
        <v>18</v>
      </c>
      <c r="K96" s="8">
        <f t="shared" si="5"/>
        <v>96</v>
      </c>
      <c r="L96" s="1">
        <f t="shared" si="6"/>
        <v>-78</v>
      </c>
      <c r="M96" s="1" t="b">
        <f t="shared" si="7"/>
        <v>0</v>
      </c>
    </row>
    <row r="97" spans="1:13" x14ac:dyDescent="0.25">
      <c r="A97" s="1" t="str">
        <f>VLOOKUP(C97,PSR!$F$1:$G$447,2,FALSE)</f>
        <v>PC Pants MD Econ Pk</v>
      </c>
      <c r="B97" s="1" t="s">
        <v>297</v>
      </c>
      <c r="C97" s="1">
        <v>80887688</v>
      </c>
      <c r="D97" s="62">
        <f>SUMIF(PSR!$G$2:$G$447,Sheet3!A97,PSR!$I$2:$I$447)</f>
        <v>115</v>
      </c>
      <c r="H97" s="1" t="str">
        <f>VLOOKUP(I97,CHOOSE({1,2},([1]IRA!$D$4:$D$285),[1]IRA!$C$4:$C$285),2,FALSE)</f>
        <v>OB Crisscross Rs50 3s</v>
      </c>
      <c r="I97" s="8">
        <v>80894404</v>
      </c>
      <c r="J97" s="8">
        <v>2</v>
      </c>
      <c r="K97" s="8">
        <f t="shared" si="5"/>
        <v>2</v>
      </c>
      <c r="L97" s="1">
        <f t="shared" si="6"/>
        <v>0</v>
      </c>
      <c r="M97" s="1" t="b">
        <f t="shared" si="7"/>
        <v>1</v>
      </c>
    </row>
    <row r="98" spans="1:13" x14ac:dyDescent="0.25">
      <c r="A98" s="1" t="str">
        <f>VLOOKUP(C98,PSR!$F$1:$G$447,2,FALSE)</f>
        <v>Pntn SS 90ml</v>
      </c>
      <c r="B98" s="1" t="s">
        <v>299</v>
      </c>
      <c r="C98" s="1">
        <v>80879272</v>
      </c>
      <c r="D98" s="62">
        <f>SUMIF(PSR!$G$2:$G$447,Sheet3!A98,PSR!$I$2:$I$447)</f>
        <v>3</v>
      </c>
      <c r="H98" s="1" t="str">
        <f>VLOOKUP(I98,CHOOSE({1,2},([1]IRA!$D$4:$D$285),[1]IRA!$C$4:$C$285),2,FALSE)</f>
        <v>Active Baby LG Econ</v>
      </c>
      <c r="I98" s="8">
        <v>80895482</v>
      </c>
      <c r="J98" s="8">
        <v>2</v>
      </c>
      <c r="K98" s="8">
        <f t="shared" si="5"/>
        <v>2</v>
      </c>
      <c r="L98" s="1">
        <f t="shared" si="6"/>
        <v>0</v>
      </c>
      <c r="M98" s="1" t="b">
        <f t="shared" si="7"/>
        <v>1</v>
      </c>
    </row>
    <row r="99" spans="1:13" x14ac:dyDescent="0.25">
      <c r="A99" s="1" t="str">
        <f>VLOOKUP(C99,PSR!$F$1:$G$447,2,FALSE)</f>
        <v>Pntn condi Biotin 3MM 200ml</v>
      </c>
      <c r="B99" s="1" t="s">
        <v>301</v>
      </c>
      <c r="C99" s="1">
        <v>80830098</v>
      </c>
      <c r="D99" s="62">
        <f>SUMIF(PSR!$G$2:$G$447,Sheet3!A99,PSR!$I$2:$I$447)</f>
        <v>1</v>
      </c>
      <c r="H99" s="1" t="str">
        <f>VLOOKUP(I99,CHOOSE({1,2},([1]IRA!$D$4:$D$285),[1]IRA!$C$4:$C$285),2,FALSE)</f>
        <v>BLUE Pants Regs LG</v>
      </c>
      <c r="I99" s="8">
        <v>80895503</v>
      </c>
      <c r="J99" s="8">
        <v>6</v>
      </c>
      <c r="K99" s="8">
        <f t="shared" si="5"/>
        <v>6</v>
      </c>
      <c r="L99" s="1">
        <f t="shared" si="6"/>
        <v>0</v>
      </c>
      <c r="M99" s="1" t="b">
        <f t="shared" si="7"/>
        <v>1</v>
      </c>
    </row>
    <row r="100" spans="1:13" x14ac:dyDescent="0.25">
      <c r="H100" s="1" t="str">
        <f>VLOOKUP(I100,CHOOSE({1,2},([1]IRA!$D$4:$D$285),[1]IRA!$C$4:$C$285),2,FALSE)</f>
        <v>Inhaler Keychain</v>
      </c>
      <c r="I100" s="8">
        <v>80885888</v>
      </c>
      <c r="J100" s="8">
        <v>9</v>
      </c>
      <c r="K100" s="8">
        <f t="shared" si="5"/>
        <v>9</v>
      </c>
      <c r="L100" s="1">
        <f t="shared" si="6"/>
        <v>0</v>
      </c>
      <c r="M100" s="1" t="b">
        <f t="shared" si="7"/>
        <v>1</v>
      </c>
    </row>
  </sheetData>
  <autoFilter ref="A2:D99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3"/>
  <sheetViews>
    <sheetView workbookViewId="0">
      <selection activeCell="D8" sqref="D8"/>
    </sheetView>
  </sheetViews>
  <sheetFormatPr defaultRowHeight="15" x14ac:dyDescent="0.25"/>
  <cols>
    <col min="2" max="2" width="39.85546875" customWidth="1"/>
  </cols>
  <sheetData>
    <row r="1" spans="1:14" x14ac:dyDescent="0.25">
      <c r="A1" s="64">
        <v>80862826</v>
      </c>
      <c r="B1" s="64" t="s">
        <v>303</v>
      </c>
      <c r="C1" s="65">
        <v>3</v>
      </c>
      <c r="D1" s="64">
        <v>190.2</v>
      </c>
      <c r="E1" s="66"/>
      <c r="F1" s="66"/>
      <c r="G1" s="66"/>
      <c r="H1" s="66"/>
      <c r="I1">
        <f>C1-H1</f>
        <v>3</v>
      </c>
      <c r="M1" s="64">
        <v>80862826</v>
      </c>
      <c r="N1">
        <f>SUMIF($A$1:$A$453,M1,$I$1:$I$453)</f>
        <v>6</v>
      </c>
    </row>
    <row r="2" spans="1:14" x14ac:dyDescent="0.25">
      <c r="A2" s="64">
        <v>80865298</v>
      </c>
      <c r="B2" s="64" t="s">
        <v>304</v>
      </c>
      <c r="C2" s="65">
        <v>1</v>
      </c>
      <c r="D2" s="64">
        <v>258.04000000000002</v>
      </c>
      <c r="E2" s="66"/>
      <c r="F2" s="66"/>
      <c r="G2" s="66"/>
      <c r="H2" s="66"/>
      <c r="I2" s="1">
        <f t="shared" ref="I2:I65" si="0">C2-H2</f>
        <v>1</v>
      </c>
      <c r="M2" s="64">
        <v>80865298</v>
      </c>
      <c r="N2" s="1">
        <f t="shared" ref="N2:N65" si="1">SUMIF($A$1:$A$453,M2,$I$1:$I$453)</f>
        <v>2</v>
      </c>
    </row>
    <row r="3" spans="1:14" x14ac:dyDescent="0.25">
      <c r="A3" s="64">
        <v>83904003</v>
      </c>
      <c r="B3" s="64" t="s">
        <v>305</v>
      </c>
      <c r="C3" s="65">
        <v>80</v>
      </c>
      <c r="D3" s="64">
        <v>8816</v>
      </c>
      <c r="E3" s="66" t="s">
        <v>306</v>
      </c>
      <c r="F3" s="66"/>
      <c r="G3" s="66">
        <v>1</v>
      </c>
      <c r="H3" s="66">
        <v>4</v>
      </c>
      <c r="I3" s="1">
        <f t="shared" si="0"/>
        <v>76</v>
      </c>
      <c r="M3" s="64">
        <v>83904003</v>
      </c>
      <c r="N3" s="1">
        <f t="shared" si="1"/>
        <v>152</v>
      </c>
    </row>
    <row r="4" spans="1:14" x14ac:dyDescent="0.25">
      <c r="A4" s="64">
        <v>80866726</v>
      </c>
      <c r="B4" s="64" t="s">
        <v>307</v>
      </c>
      <c r="C4" s="65">
        <v>9</v>
      </c>
      <c r="D4" s="64">
        <v>763.47</v>
      </c>
      <c r="E4" s="66"/>
      <c r="F4" s="66"/>
      <c r="G4" s="66"/>
      <c r="H4" s="66"/>
      <c r="I4" s="1">
        <f t="shared" si="0"/>
        <v>9</v>
      </c>
      <c r="M4" s="64">
        <v>80866726</v>
      </c>
      <c r="N4" s="1">
        <f t="shared" si="1"/>
        <v>18</v>
      </c>
    </row>
    <row r="5" spans="1:14" x14ac:dyDescent="0.25">
      <c r="A5" s="64">
        <v>80797472</v>
      </c>
      <c r="B5" s="64" t="s">
        <v>308</v>
      </c>
      <c r="C5" s="65">
        <v>1</v>
      </c>
      <c r="D5" s="64">
        <v>513.39</v>
      </c>
      <c r="E5" s="66"/>
      <c r="F5" s="66"/>
      <c r="G5" s="66"/>
      <c r="H5" s="66"/>
      <c r="I5" s="1">
        <f t="shared" si="0"/>
        <v>1</v>
      </c>
      <c r="M5" s="64">
        <v>80797472</v>
      </c>
      <c r="N5" s="1">
        <f t="shared" si="1"/>
        <v>1</v>
      </c>
    </row>
    <row r="6" spans="1:14" x14ac:dyDescent="0.25">
      <c r="A6" s="64">
        <v>80797470</v>
      </c>
      <c r="B6" s="64" t="s">
        <v>309</v>
      </c>
      <c r="C6" s="65">
        <v>1</v>
      </c>
      <c r="D6" s="64">
        <v>379.46</v>
      </c>
      <c r="E6" s="66"/>
      <c r="F6" s="66"/>
      <c r="G6" s="66"/>
      <c r="H6" s="66"/>
      <c r="I6" s="1">
        <f t="shared" si="0"/>
        <v>1</v>
      </c>
      <c r="M6" s="64">
        <v>80797470</v>
      </c>
      <c r="N6" s="1">
        <f t="shared" si="1"/>
        <v>3</v>
      </c>
    </row>
    <row r="7" spans="1:14" x14ac:dyDescent="0.25">
      <c r="A7" s="64">
        <v>80867316</v>
      </c>
      <c r="B7" s="64" t="s">
        <v>310</v>
      </c>
      <c r="C7" s="65">
        <v>8</v>
      </c>
      <c r="D7" s="64">
        <v>707.12</v>
      </c>
      <c r="E7" s="66"/>
      <c r="F7" s="66"/>
      <c r="G7" s="66"/>
      <c r="H7" s="66"/>
      <c r="I7" s="1">
        <f t="shared" si="0"/>
        <v>8</v>
      </c>
      <c r="M7" s="64">
        <v>80867316</v>
      </c>
      <c r="N7" s="1">
        <f t="shared" si="1"/>
        <v>18</v>
      </c>
    </row>
    <row r="8" spans="1:14" x14ac:dyDescent="0.25">
      <c r="A8" s="64">
        <v>80896468</v>
      </c>
      <c r="B8" s="64" t="s">
        <v>311</v>
      </c>
      <c r="C8" s="65">
        <v>30</v>
      </c>
      <c r="D8" s="64">
        <v>1488</v>
      </c>
      <c r="E8" s="66"/>
      <c r="F8" s="66"/>
      <c r="G8" s="66"/>
      <c r="H8" s="66"/>
      <c r="I8" s="1">
        <f t="shared" si="0"/>
        <v>30</v>
      </c>
      <c r="M8" s="64">
        <v>80896468</v>
      </c>
      <c r="N8" s="1">
        <f t="shared" si="1"/>
        <v>60</v>
      </c>
    </row>
    <row r="9" spans="1:14" x14ac:dyDescent="0.25">
      <c r="A9" s="64">
        <v>80876082</v>
      </c>
      <c r="B9" s="64" t="s">
        <v>312</v>
      </c>
      <c r="C9" s="65">
        <v>7</v>
      </c>
      <c r="D9" s="64">
        <v>2181.2000000000003</v>
      </c>
      <c r="E9" s="66"/>
      <c r="F9" s="66"/>
      <c r="G9" s="66"/>
      <c r="H9" s="66"/>
      <c r="I9" s="1">
        <f t="shared" si="0"/>
        <v>7</v>
      </c>
      <c r="M9" s="64">
        <v>80876082</v>
      </c>
      <c r="N9" s="1">
        <f t="shared" si="1"/>
        <v>14</v>
      </c>
    </row>
    <row r="10" spans="1:14" x14ac:dyDescent="0.25">
      <c r="A10" s="64">
        <v>80803710</v>
      </c>
      <c r="B10" s="64" t="s">
        <v>313</v>
      </c>
      <c r="C10" s="65">
        <v>1</v>
      </c>
      <c r="D10" s="64">
        <v>311.60000000000002</v>
      </c>
      <c r="E10" s="66"/>
      <c r="F10" s="66"/>
      <c r="G10" s="66"/>
      <c r="H10" s="66"/>
      <c r="I10" s="1">
        <f t="shared" si="0"/>
        <v>1</v>
      </c>
      <c r="M10" s="64">
        <v>80803710</v>
      </c>
      <c r="N10" s="1">
        <f t="shared" si="1"/>
        <v>4</v>
      </c>
    </row>
    <row r="11" spans="1:14" x14ac:dyDescent="0.25">
      <c r="A11" s="64">
        <v>80862828</v>
      </c>
      <c r="B11" s="64" t="s">
        <v>314</v>
      </c>
      <c r="C11" s="65">
        <v>3</v>
      </c>
      <c r="D11" s="64">
        <v>190.2</v>
      </c>
      <c r="E11" s="66"/>
      <c r="F11" s="66"/>
      <c r="G11" s="66"/>
      <c r="H11" s="66"/>
      <c r="I11" s="1">
        <f t="shared" si="0"/>
        <v>3</v>
      </c>
      <c r="M11" s="64">
        <v>80862828</v>
      </c>
      <c r="N11" s="1">
        <f t="shared" si="1"/>
        <v>9</v>
      </c>
    </row>
    <row r="12" spans="1:14" x14ac:dyDescent="0.25">
      <c r="A12" s="64">
        <v>80753181</v>
      </c>
      <c r="B12" s="64" t="s">
        <v>315</v>
      </c>
      <c r="C12" s="65">
        <v>3</v>
      </c>
      <c r="D12" s="64">
        <v>265.17</v>
      </c>
      <c r="E12" s="66"/>
      <c r="F12" s="66"/>
      <c r="G12" s="66"/>
      <c r="H12" s="66"/>
      <c r="I12" s="1">
        <f t="shared" si="0"/>
        <v>3</v>
      </c>
      <c r="M12" s="64">
        <v>80753181</v>
      </c>
      <c r="N12" s="1">
        <f t="shared" si="1"/>
        <v>3</v>
      </c>
    </row>
    <row r="13" spans="1:14" x14ac:dyDescent="0.25">
      <c r="A13" s="64">
        <v>80866724</v>
      </c>
      <c r="B13" s="64" t="s">
        <v>316</v>
      </c>
      <c r="C13" s="65">
        <v>1</v>
      </c>
      <c r="D13" s="64">
        <v>222.32</v>
      </c>
      <c r="E13" s="66"/>
      <c r="F13" s="66"/>
      <c r="G13" s="66"/>
      <c r="H13" s="66"/>
      <c r="I13" s="1">
        <f t="shared" si="0"/>
        <v>1</v>
      </c>
      <c r="M13" s="64">
        <v>80866724</v>
      </c>
      <c r="N13" s="1">
        <f t="shared" si="1"/>
        <v>1</v>
      </c>
    </row>
    <row r="14" spans="1:14" x14ac:dyDescent="0.25">
      <c r="A14" s="64">
        <v>80866723</v>
      </c>
      <c r="B14" s="64" t="s">
        <v>317</v>
      </c>
      <c r="C14" s="65">
        <v>34</v>
      </c>
      <c r="D14" s="64">
        <v>8803.2800000000007</v>
      </c>
      <c r="E14" s="66"/>
      <c r="F14" s="66"/>
      <c r="G14" s="66"/>
      <c r="H14" s="66"/>
      <c r="I14" s="1">
        <f t="shared" si="0"/>
        <v>34</v>
      </c>
      <c r="M14" s="64">
        <v>80866723</v>
      </c>
      <c r="N14" s="1">
        <f t="shared" si="1"/>
        <v>158</v>
      </c>
    </row>
    <row r="15" spans="1:14" x14ac:dyDescent="0.25">
      <c r="A15" s="64">
        <v>80866729</v>
      </c>
      <c r="B15" s="64" t="s">
        <v>318</v>
      </c>
      <c r="C15" s="65">
        <v>42</v>
      </c>
      <c r="D15" s="64">
        <v>10874.640000000001</v>
      </c>
      <c r="E15" s="66"/>
      <c r="F15" s="66"/>
      <c r="G15" s="66"/>
      <c r="H15" s="66"/>
      <c r="I15" s="1">
        <f t="shared" si="0"/>
        <v>42</v>
      </c>
      <c r="M15" s="64">
        <v>80866729</v>
      </c>
      <c r="N15" s="1">
        <f t="shared" si="1"/>
        <v>284</v>
      </c>
    </row>
    <row r="16" spans="1:14" x14ac:dyDescent="0.25">
      <c r="A16" s="64">
        <v>80875507</v>
      </c>
      <c r="B16" s="64" t="s">
        <v>319</v>
      </c>
      <c r="C16" s="65">
        <v>10</v>
      </c>
      <c r="D16" s="64">
        <v>937.4</v>
      </c>
      <c r="E16" s="66" t="s">
        <v>320</v>
      </c>
      <c r="F16" s="66"/>
      <c r="G16" s="66">
        <v>1</v>
      </c>
      <c r="H16" s="66">
        <v>2</v>
      </c>
      <c r="I16" s="1">
        <f t="shared" si="0"/>
        <v>8</v>
      </c>
      <c r="M16" s="64">
        <v>80875507</v>
      </c>
      <c r="N16" s="1">
        <f t="shared" si="1"/>
        <v>14</v>
      </c>
    </row>
    <row r="17" spans="1:14" x14ac:dyDescent="0.25">
      <c r="A17" s="64">
        <v>80864300</v>
      </c>
      <c r="B17" s="64" t="s">
        <v>321</v>
      </c>
      <c r="C17" s="65">
        <v>26</v>
      </c>
      <c r="D17" s="64">
        <v>2250.2999999999997</v>
      </c>
      <c r="E17" s="66"/>
      <c r="F17" s="66"/>
      <c r="G17" s="66"/>
      <c r="H17" s="66"/>
      <c r="I17" s="1">
        <f t="shared" si="0"/>
        <v>26</v>
      </c>
      <c r="M17" s="64">
        <v>80864300</v>
      </c>
      <c r="N17" s="1">
        <f t="shared" si="1"/>
        <v>58</v>
      </c>
    </row>
    <row r="18" spans="1:14" x14ac:dyDescent="0.25">
      <c r="A18" s="64">
        <v>80875513</v>
      </c>
      <c r="B18" s="64" t="s">
        <v>322</v>
      </c>
      <c r="C18" s="65">
        <v>13</v>
      </c>
      <c r="D18" s="64">
        <v>1995.5</v>
      </c>
      <c r="E18" s="66"/>
      <c r="F18" s="66"/>
      <c r="G18" s="66"/>
      <c r="H18" s="66"/>
      <c r="I18" s="1">
        <f t="shared" si="0"/>
        <v>13</v>
      </c>
      <c r="M18" s="64">
        <v>80875513</v>
      </c>
      <c r="N18" s="1">
        <f t="shared" si="1"/>
        <v>56</v>
      </c>
    </row>
    <row r="19" spans="1:14" x14ac:dyDescent="0.25">
      <c r="A19" s="64">
        <v>80840354</v>
      </c>
      <c r="B19" s="64" t="s">
        <v>323</v>
      </c>
      <c r="C19" s="65">
        <v>25</v>
      </c>
      <c r="D19" s="64">
        <v>8223.75</v>
      </c>
      <c r="E19" s="66"/>
      <c r="F19" s="66"/>
      <c r="G19" s="66">
        <v>2</v>
      </c>
      <c r="H19" s="66">
        <v>2</v>
      </c>
      <c r="I19" s="1">
        <f t="shared" si="0"/>
        <v>23</v>
      </c>
      <c r="M19" s="64">
        <v>80840354</v>
      </c>
      <c r="N19" s="1">
        <f t="shared" si="1"/>
        <v>50</v>
      </c>
    </row>
    <row r="20" spans="1:14" x14ac:dyDescent="0.25">
      <c r="A20" s="64">
        <v>80840352</v>
      </c>
      <c r="B20" s="64" t="s">
        <v>324</v>
      </c>
      <c r="C20" s="65">
        <v>17</v>
      </c>
      <c r="D20" s="64">
        <v>7083.39</v>
      </c>
      <c r="E20" s="66"/>
      <c r="F20" s="66"/>
      <c r="G20" s="66"/>
      <c r="H20" s="66"/>
      <c r="I20" s="1">
        <f t="shared" si="0"/>
        <v>17</v>
      </c>
      <c r="M20" s="64">
        <v>80840352</v>
      </c>
      <c r="N20" s="1">
        <f t="shared" si="1"/>
        <v>25</v>
      </c>
    </row>
    <row r="21" spans="1:14" x14ac:dyDescent="0.25">
      <c r="A21" s="64">
        <v>80864296</v>
      </c>
      <c r="B21" s="64" t="s">
        <v>325</v>
      </c>
      <c r="C21" s="65">
        <v>6</v>
      </c>
      <c r="D21" s="64">
        <v>521.09999999999991</v>
      </c>
      <c r="E21" s="66"/>
      <c r="F21" s="66"/>
      <c r="G21" s="66"/>
      <c r="H21" s="66"/>
      <c r="I21" s="1">
        <f t="shared" si="0"/>
        <v>6</v>
      </c>
      <c r="M21" s="64">
        <v>80864296</v>
      </c>
      <c r="N21" s="1">
        <f t="shared" si="1"/>
        <v>24</v>
      </c>
    </row>
    <row r="22" spans="1:14" x14ac:dyDescent="0.25">
      <c r="A22" s="64">
        <v>80864297</v>
      </c>
      <c r="B22" s="64" t="s">
        <v>326</v>
      </c>
      <c r="C22" s="65">
        <v>249</v>
      </c>
      <c r="D22" s="64">
        <v>38221.5</v>
      </c>
      <c r="E22" s="66" t="s">
        <v>327</v>
      </c>
      <c r="F22" s="66"/>
      <c r="G22" s="66">
        <v>7</v>
      </c>
      <c r="H22" s="66">
        <v>7</v>
      </c>
      <c r="I22" s="1">
        <f t="shared" si="0"/>
        <v>242</v>
      </c>
      <c r="M22" s="64">
        <v>80864297</v>
      </c>
      <c r="N22" s="1">
        <f t="shared" si="1"/>
        <v>629</v>
      </c>
    </row>
    <row r="23" spans="1:14" x14ac:dyDescent="0.25">
      <c r="A23" s="64">
        <v>80832389</v>
      </c>
      <c r="B23" s="64" t="s">
        <v>328</v>
      </c>
      <c r="C23" s="65">
        <v>1</v>
      </c>
      <c r="D23" s="64">
        <v>328.95</v>
      </c>
      <c r="E23" s="66"/>
      <c r="F23" s="66"/>
      <c r="G23" s="66">
        <v>1</v>
      </c>
      <c r="H23" s="66">
        <v>1</v>
      </c>
      <c r="I23" s="1">
        <f t="shared" si="0"/>
        <v>0</v>
      </c>
      <c r="M23" s="64">
        <v>80832389</v>
      </c>
      <c r="N23" s="1">
        <f t="shared" si="1"/>
        <v>8</v>
      </c>
    </row>
    <row r="24" spans="1:14" x14ac:dyDescent="0.25">
      <c r="A24" s="64">
        <v>80832398</v>
      </c>
      <c r="B24" s="64" t="s">
        <v>329</v>
      </c>
      <c r="C24" s="65">
        <v>10</v>
      </c>
      <c r="D24" s="64">
        <v>2850.8999999999996</v>
      </c>
      <c r="E24" s="66" t="s">
        <v>330</v>
      </c>
      <c r="F24" s="66"/>
      <c r="G24" s="66">
        <v>1</v>
      </c>
      <c r="H24" s="66">
        <v>1</v>
      </c>
      <c r="I24" s="1">
        <f t="shared" si="0"/>
        <v>9</v>
      </c>
      <c r="M24" s="64">
        <v>80832398</v>
      </c>
      <c r="N24" s="1">
        <f t="shared" si="1"/>
        <v>30</v>
      </c>
    </row>
    <row r="25" spans="1:14" x14ac:dyDescent="0.25">
      <c r="A25" s="64">
        <v>80832394</v>
      </c>
      <c r="B25" s="64" t="s">
        <v>331</v>
      </c>
      <c r="C25" s="65">
        <v>3</v>
      </c>
      <c r="D25" s="64">
        <v>1118.4000000000001</v>
      </c>
      <c r="E25" s="66"/>
      <c r="F25" s="66"/>
      <c r="G25" s="66"/>
      <c r="H25" s="66"/>
      <c r="I25" s="1">
        <f t="shared" si="0"/>
        <v>3</v>
      </c>
      <c r="M25" s="64">
        <v>80832394</v>
      </c>
      <c r="N25" s="1">
        <f t="shared" si="1"/>
        <v>13</v>
      </c>
    </row>
    <row r="26" spans="1:14" x14ac:dyDescent="0.25">
      <c r="A26" s="64">
        <v>83911270</v>
      </c>
      <c r="B26" s="64" t="s">
        <v>332</v>
      </c>
      <c r="C26" s="65">
        <v>135</v>
      </c>
      <c r="D26" s="64">
        <v>9694.35</v>
      </c>
      <c r="E26" s="66"/>
      <c r="F26" s="66"/>
      <c r="G26" s="66">
        <v>2</v>
      </c>
      <c r="H26" s="66">
        <v>6</v>
      </c>
      <c r="I26" s="1">
        <f t="shared" si="0"/>
        <v>129</v>
      </c>
      <c r="M26" s="64">
        <v>83911270</v>
      </c>
      <c r="N26" s="1">
        <f t="shared" si="1"/>
        <v>231</v>
      </c>
    </row>
    <row r="27" spans="1:14" x14ac:dyDescent="0.25">
      <c r="A27" s="64">
        <v>80892904</v>
      </c>
      <c r="B27" s="64" t="s">
        <v>333</v>
      </c>
      <c r="C27" s="65">
        <v>219</v>
      </c>
      <c r="D27" s="64">
        <v>15726.390000000001</v>
      </c>
      <c r="E27" s="66" t="s">
        <v>327</v>
      </c>
      <c r="F27" s="66"/>
      <c r="G27" s="66">
        <v>3</v>
      </c>
      <c r="H27" s="66">
        <v>9</v>
      </c>
      <c r="I27" s="1">
        <f t="shared" si="0"/>
        <v>210</v>
      </c>
      <c r="M27" s="64">
        <v>80892904</v>
      </c>
      <c r="N27" s="1">
        <f t="shared" si="1"/>
        <v>414</v>
      </c>
    </row>
    <row r="28" spans="1:14" x14ac:dyDescent="0.25">
      <c r="A28" s="64">
        <v>83911280</v>
      </c>
      <c r="B28" s="64" t="s">
        <v>334</v>
      </c>
      <c r="C28" s="65">
        <v>111</v>
      </c>
      <c r="D28" s="64">
        <v>7970.91</v>
      </c>
      <c r="E28" s="66"/>
      <c r="F28" s="66"/>
      <c r="G28" s="66">
        <v>1</v>
      </c>
      <c r="H28" s="66">
        <v>3</v>
      </c>
      <c r="I28" s="1">
        <f t="shared" si="0"/>
        <v>108</v>
      </c>
      <c r="M28" s="64">
        <v>83911280</v>
      </c>
      <c r="N28" s="1">
        <f t="shared" si="1"/>
        <v>171</v>
      </c>
    </row>
    <row r="29" spans="1:14" x14ac:dyDescent="0.25">
      <c r="A29" s="64">
        <v>80880909</v>
      </c>
      <c r="B29" s="64" t="s">
        <v>335</v>
      </c>
      <c r="C29" s="65">
        <v>63</v>
      </c>
      <c r="D29" s="64">
        <v>4868.01</v>
      </c>
      <c r="E29" s="66"/>
      <c r="F29" s="66"/>
      <c r="G29" s="66"/>
      <c r="H29" s="66"/>
      <c r="I29" s="1">
        <f t="shared" si="0"/>
        <v>63</v>
      </c>
      <c r="M29" s="64">
        <v>80880909</v>
      </c>
      <c r="N29" s="1">
        <f t="shared" si="1"/>
        <v>87</v>
      </c>
    </row>
    <row r="30" spans="1:14" x14ac:dyDescent="0.25">
      <c r="A30" s="64">
        <v>83911276</v>
      </c>
      <c r="B30" s="64" t="s">
        <v>336</v>
      </c>
      <c r="C30" s="65">
        <v>12</v>
      </c>
      <c r="D30" s="64">
        <v>861.72</v>
      </c>
      <c r="E30" s="66"/>
      <c r="F30" s="66"/>
      <c r="G30" s="66"/>
      <c r="H30" s="66"/>
      <c r="I30" s="1">
        <f t="shared" si="0"/>
        <v>12</v>
      </c>
      <c r="M30" s="64">
        <v>83911276</v>
      </c>
      <c r="N30" s="1">
        <f t="shared" si="1"/>
        <v>33</v>
      </c>
    </row>
    <row r="31" spans="1:14" x14ac:dyDescent="0.25">
      <c r="A31" s="64">
        <v>83911281</v>
      </c>
      <c r="B31" s="64" t="s">
        <v>337</v>
      </c>
      <c r="C31" s="65">
        <v>39</v>
      </c>
      <c r="D31" s="64">
        <v>2800.59</v>
      </c>
      <c r="E31" s="66"/>
      <c r="F31" s="66"/>
      <c r="G31" s="66">
        <v>1</v>
      </c>
      <c r="H31" s="66">
        <v>3</v>
      </c>
      <c r="I31" s="1">
        <f t="shared" si="0"/>
        <v>36</v>
      </c>
      <c r="M31" s="64">
        <v>83911281</v>
      </c>
      <c r="N31" s="1">
        <f t="shared" si="1"/>
        <v>123</v>
      </c>
    </row>
    <row r="32" spans="1:14" x14ac:dyDescent="0.25">
      <c r="A32" s="64">
        <v>80894418</v>
      </c>
      <c r="B32" s="64" t="s">
        <v>259</v>
      </c>
      <c r="C32" s="65">
        <v>2</v>
      </c>
      <c r="D32" s="64">
        <v>141.66999999999999</v>
      </c>
      <c r="E32" s="66"/>
      <c r="F32" s="66"/>
      <c r="G32" s="66"/>
      <c r="H32" s="66"/>
      <c r="I32" s="1">
        <f t="shared" si="0"/>
        <v>2</v>
      </c>
      <c r="M32" s="64">
        <v>80894418</v>
      </c>
      <c r="N32" s="1">
        <f t="shared" si="1"/>
        <v>2</v>
      </c>
    </row>
    <row r="33" spans="1:14" x14ac:dyDescent="0.25">
      <c r="A33" s="64">
        <v>80878182</v>
      </c>
      <c r="B33" s="64" t="s">
        <v>338</v>
      </c>
      <c r="C33" s="65">
        <v>20</v>
      </c>
      <c r="D33" s="64">
        <v>1895.6</v>
      </c>
      <c r="E33" s="66"/>
      <c r="F33" s="66"/>
      <c r="G33" s="66"/>
      <c r="H33" s="66"/>
      <c r="I33" s="1">
        <f t="shared" si="0"/>
        <v>20</v>
      </c>
      <c r="M33" s="64">
        <v>80878182</v>
      </c>
      <c r="N33" s="1">
        <f t="shared" si="1"/>
        <v>42</v>
      </c>
    </row>
    <row r="34" spans="1:14" x14ac:dyDescent="0.25">
      <c r="A34" s="64">
        <v>80762958</v>
      </c>
      <c r="B34" s="64" t="s">
        <v>339</v>
      </c>
      <c r="C34" s="65">
        <v>1</v>
      </c>
      <c r="D34" s="64">
        <v>107.14</v>
      </c>
      <c r="E34" s="66"/>
      <c r="F34" s="66"/>
      <c r="G34" s="66"/>
      <c r="H34" s="66"/>
      <c r="I34" s="1">
        <f t="shared" si="0"/>
        <v>1</v>
      </c>
      <c r="M34" s="64">
        <v>80762958</v>
      </c>
      <c r="N34" s="1">
        <f t="shared" si="1"/>
        <v>1</v>
      </c>
    </row>
    <row r="35" spans="1:14" x14ac:dyDescent="0.25">
      <c r="A35" s="64">
        <v>80895603</v>
      </c>
      <c r="B35" s="64" t="s">
        <v>340</v>
      </c>
      <c r="C35" s="65">
        <v>2</v>
      </c>
      <c r="D35" s="64">
        <v>176.68</v>
      </c>
      <c r="E35" s="66"/>
      <c r="F35" s="66"/>
      <c r="G35" s="66"/>
      <c r="H35" s="66"/>
      <c r="I35" s="1">
        <f t="shared" si="0"/>
        <v>2</v>
      </c>
      <c r="M35" s="64">
        <v>80895603</v>
      </c>
      <c r="N35" s="1">
        <f t="shared" si="1"/>
        <v>6</v>
      </c>
    </row>
    <row r="36" spans="1:14" x14ac:dyDescent="0.25">
      <c r="A36" s="64">
        <v>80895602</v>
      </c>
      <c r="B36" s="64" t="s">
        <v>341</v>
      </c>
      <c r="C36" s="65">
        <v>2</v>
      </c>
      <c r="D36" s="64">
        <v>83.34</v>
      </c>
      <c r="E36" s="66"/>
      <c r="F36" s="66"/>
      <c r="G36" s="66"/>
      <c r="H36" s="66"/>
      <c r="I36" s="1">
        <f t="shared" si="0"/>
        <v>2</v>
      </c>
      <c r="M36" s="64">
        <v>80895602</v>
      </c>
      <c r="N36" s="1">
        <f t="shared" si="1"/>
        <v>16</v>
      </c>
    </row>
    <row r="37" spans="1:14" x14ac:dyDescent="0.25">
      <c r="A37" s="64">
        <v>80895783</v>
      </c>
      <c r="B37" s="64" t="s">
        <v>342</v>
      </c>
      <c r="C37" s="65">
        <v>4</v>
      </c>
      <c r="D37" s="64">
        <v>466.68</v>
      </c>
      <c r="E37" s="66"/>
      <c r="F37" s="66"/>
      <c r="G37" s="66"/>
      <c r="H37" s="66"/>
      <c r="I37" s="1">
        <f t="shared" si="0"/>
        <v>4</v>
      </c>
      <c r="M37" s="64">
        <v>80895783</v>
      </c>
      <c r="N37" s="1">
        <f t="shared" si="1"/>
        <v>4</v>
      </c>
    </row>
    <row r="38" spans="1:14" x14ac:dyDescent="0.25">
      <c r="A38" s="64">
        <v>80895465</v>
      </c>
      <c r="B38" s="64" t="s">
        <v>343</v>
      </c>
      <c r="C38" s="65">
        <v>19</v>
      </c>
      <c r="D38" s="64">
        <v>6179.18</v>
      </c>
      <c r="E38" s="66" t="s">
        <v>330</v>
      </c>
      <c r="F38" s="66"/>
      <c r="G38" s="66">
        <v>1</v>
      </c>
      <c r="H38" s="66">
        <v>1</v>
      </c>
      <c r="I38" s="1">
        <f t="shared" si="0"/>
        <v>18</v>
      </c>
      <c r="M38" s="64">
        <v>80895465</v>
      </c>
      <c r="N38" s="1">
        <f t="shared" si="1"/>
        <v>29</v>
      </c>
    </row>
    <row r="39" spans="1:14" x14ac:dyDescent="0.25">
      <c r="A39" s="64">
        <v>83921920</v>
      </c>
      <c r="B39" s="64" t="s">
        <v>344</v>
      </c>
      <c r="C39" s="65">
        <v>15</v>
      </c>
      <c r="D39" s="64">
        <v>4375.05</v>
      </c>
      <c r="E39" s="66"/>
      <c r="F39" s="66"/>
      <c r="G39" s="66"/>
      <c r="H39" s="66"/>
      <c r="I39" s="1">
        <f t="shared" si="0"/>
        <v>15</v>
      </c>
      <c r="M39" s="64">
        <v>83921920</v>
      </c>
      <c r="N39" s="1">
        <f t="shared" si="1"/>
        <v>28</v>
      </c>
    </row>
    <row r="40" spans="1:14" x14ac:dyDescent="0.25">
      <c r="A40" s="64">
        <v>80887983</v>
      </c>
      <c r="B40" s="64" t="s">
        <v>345</v>
      </c>
      <c r="C40" s="65">
        <v>2</v>
      </c>
      <c r="D40" s="64">
        <v>933.34</v>
      </c>
      <c r="E40" s="66"/>
      <c r="F40" s="66"/>
      <c r="G40" s="66"/>
      <c r="H40" s="66"/>
      <c r="I40" s="1">
        <f t="shared" si="0"/>
        <v>2</v>
      </c>
      <c r="M40" s="64">
        <v>80887983</v>
      </c>
      <c r="N40" s="1">
        <f t="shared" si="1"/>
        <v>6</v>
      </c>
    </row>
    <row r="41" spans="1:14" x14ac:dyDescent="0.25">
      <c r="A41" s="64">
        <v>83921921</v>
      </c>
      <c r="B41" s="64" t="s">
        <v>346</v>
      </c>
      <c r="C41" s="65">
        <v>32</v>
      </c>
      <c r="D41" s="64">
        <v>9333.44</v>
      </c>
      <c r="E41" s="66" t="s">
        <v>330</v>
      </c>
      <c r="F41" s="66"/>
      <c r="G41" s="66">
        <v>1</v>
      </c>
      <c r="H41" s="66">
        <v>1</v>
      </c>
      <c r="I41" s="1">
        <f t="shared" si="0"/>
        <v>31</v>
      </c>
      <c r="M41" s="64">
        <v>83921921</v>
      </c>
      <c r="N41" s="1">
        <f t="shared" si="1"/>
        <v>115</v>
      </c>
    </row>
    <row r="42" spans="1:14" x14ac:dyDescent="0.25">
      <c r="A42" s="64">
        <v>83918762</v>
      </c>
      <c r="B42" s="64" t="s">
        <v>347</v>
      </c>
      <c r="C42" s="65">
        <v>5</v>
      </c>
      <c r="D42" s="64">
        <v>2537.5</v>
      </c>
      <c r="E42" s="66"/>
      <c r="F42" s="66"/>
      <c r="G42" s="66"/>
      <c r="H42" s="66"/>
      <c r="I42" s="1">
        <f t="shared" si="0"/>
        <v>5</v>
      </c>
      <c r="M42" s="64">
        <v>83918762</v>
      </c>
      <c r="N42" s="1">
        <f t="shared" si="1"/>
        <v>90</v>
      </c>
    </row>
    <row r="43" spans="1:14" x14ac:dyDescent="0.25">
      <c r="A43" s="64">
        <v>83921924</v>
      </c>
      <c r="B43" s="64" t="s">
        <v>348</v>
      </c>
      <c r="C43" s="65">
        <v>83</v>
      </c>
      <c r="D43" s="64">
        <v>24208.61</v>
      </c>
      <c r="E43" s="66" t="s">
        <v>330</v>
      </c>
      <c r="F43" s="66"/>
      <c r="G43" s="66">
        <v>1</v>
      </c>
      <c r="H43" s="66">
        <v>1</v>
      </c>
      <c r="I43" s="1">
        <f t="shared" si="0"/>
        <v>82</v>
      </c>
      <c r="M43" s="64">
        <v>83921924</v>
      </c>
      <c r="N43" s="1">
        <f t="shared" si="1"/>
        <v>171</v>
      </c>
    </row>
    <row r="44" spans="1:14" x14ac:dyDescent="0.25">
      <c r="A44" s="64">
        <v>83921923</v>
      </c>
      <c r="B44" s="64" t="s">
        <v>349</v>
      </c>
      <c r="C44" s="65">
        <v>19</v>
      </c>
      <c r="D44" s="64">
        <v>5541.7300000000005</v>
      </c>
      <c r="E44" s="66"/>
      <c r="F44" s="66"/>
      <c r="G44" s="66"/>
      <c r="H44" s="66"/>
      <c r="I44" s="1">
        <f t="shared" si="0"/>
        <v>19</v>
      </c>
      <c r="M44" s="64">
        <v>83921923</v>
      </c>
      <c r="N44" s="1">
        <f t="shared" si="1"/>
        <v>75</v>
      </c>
    </row>
    <row r="45" spans="1:14" x14ac:dyDescent="0.25">
      <c r="A45" s="64">
        <v>80887692</v>
      </c>
      <c r="B45" s="64" t="s">
        <v>350</v>
      </c>
      <c r="C45" s="65">
        <v>4</v>
      </c>
      <c r="D45" s="64">
        <v>1217.3599999999999</v>
      </c>
      <c r="E45" s="66"/>
      <c r="F45" s="66"/>
      <c r="G45" s="66"/>
      <c r="H45" s="66"/>
      <c r="I45" s="1">
        <f t="shared" si="0"/>
        <v>4</v>
      </c>
      <c r="M45" s="64">
        <v>80887692</v>
      </c>
      <c r="N45" s="1">
        <f t="shared" si="1"/>
        <v>12</v>
      </c>
    </row>
    <row r="46" spans="1:14" x14ac:dyDescent="0.25">
      <c r="A46" s="64">
        <v>80895502</v>
      </c>
      <c r="B46" s="64" t="s">
        <v>351</v>
      </c>
      <c r="C46" s="65">
        <v>3</v>
      </c>
      <c r="D46" s="64">
        <v>245.01</v>
      </c>
      <c r="E46" s="66"/>
      <c r="F46" s="66"/>
      <c r="G46" s="66"/>
      <c r="H46" s="66"/>
      <c r="I46" s="1">
        <f t="shared" si="0"/>
        <v>3</v>
      </c>
      <c r="M46" s="64">
        <v>80895502</v>
      </c>
      <c r="N46" s="1">
        <f t="shared" si="1"/>
        <v>6</v>
      </c>
    </row>
    <row r="47" spans="1:14" x14ac:dyDescent="0.25">
      <c r="A47" s="64">
        <v>80895500</v>
      </c>
      <c r="B47" s="64" t="s">
        <v>352</v>
      </c>
      <c r="C47" s="65">
        <v>12</v>
      </c>
      <c r="D47" s="64">
        <v>930</v>
      </c>
      <c r="E47" s="66"/>
      <c r="F47" s="66"/>
      <c r="G47" s="66"/>
      <c r="H47" s="66"/>
      <c r="I47" s="1">
        <f t="shared" si="0"/>
        <v>12</v>
      </c>
      <c r="M47" s="64">
        <v>80895500</v>
      </c>
      <c r="N47" s="1">
        <f t="shared" si="1"/>
        <v>21</v>
      </c>
    </row>
    <row r="48" spans="1:14" x14ac:dyDescent="0.25">
      <c r="A48" s="64">
        <v>83912172</v>
      </c>
      <c r="B48" s="64" t="s">
        <v>353</v>
      </c>
      <c r="C48" s="65">
        <v>69</v>
      </c>
      <c r="D48" s="64">
        <v>5347.5</v>
      </c>
      <c r="E48" s="66"/>
      <c r="F48" s="66"/>
      <c r="G48" s="66"/>
      <c r="H48" s="66"/>
      <c r="I48" s="1">
        <f t="shared" si="0"/>
        <v>69</v>
      </c>
      <c r="M48" s="64">
        <v>83912172</v>
      </c>
      <c r="N48" s="1">
        <f t="shared" si="1"/>
        <v>159</v>
      </c>
    </row>
    <row r="49" spans="1:14" x14ac:dyDescent="0.25">
      <c r="A49" s="64">
        <v>80895504</v>
      </c>
      <c r="B49" s="64" t="s">
        <v>354</v>
      </c>
      <c r="C49" s="65">
        <v>8</v>
      </c>
      <c r="D49" s="64">
        <v>993.36</v>
      </c>
      <c r="E49" s="66"/>
      <c r="F49" s="66"/>
      <c r="G49" s="66"/>
      <c r="H49" s="66"/>
      <c r="I49" s="1">
        <f t="shared" si="0"/>
        <v>8</v>
      </c>
      <c r="M49" s="64">
        <v>80895504</v>
      </c>
      <c r="N49" s="1">
        <f t="shared" si="1"/>
        <v>10</v>
      </c>
    </row>
    <row r="50" spans="1:14" x14ac:dyDescent="0.25">
      <c r="A50" s="64">
        <v>83912164</v>
      </c>
      <c r="B50" s="64" t="s">
        <v>355</v>
      </c>
      <c r="C50" s="65">
        <v>135</v>
      </c>
      <c r="D50" s="64">
        <v>11025.449999999999</v>
      </c>
      <c r="E50" s="66" t="s">
        <v>327</v>
      </c>
      <c r="F50" s="66"/>
      <c r="G50" s="66">
        <v>1</v>
      </c>
      <c r="H50" s="66">
        <v>3</v>
      </c>
      <c r="I50" s="1">
        <f t="shared" si="0"/>
        <v>132</v>
      </c>
      <c r="M50" s="64">
        <v>83912164</v>
      </c>
      <c r="N50" s="1">
        <f t="shared" si="1"/>
        <v>351</v>
      </c>
    </row>
    <row r="51" spans="1:14" x14ac:dyDescent="0.25">
      <c r="A51" s="64">
        <v>83918758</v>
      </c>
      <c r="B51" s="64" t="s">
        <v>356</v>
      </c>
      <c r="C51" s="65">
        <v>33</v>
      </c>
      <c r="D51" s="64">
        <v>2612.6099999999997</v>
      </c>
      <c r="E51" s="66"/>
      <c r="F51" s="66"/>
      <c r="G51" s="66"/>
      <c r="H51" s="66"/>
      <c r="I51" s="1">
        <f t="shared" si="0"/>
        <v>33</v>
      </c>
      <c r="M51" s="64">
        <v>83918758</v>
      </c>
      <c r="N51" s="1">
        <f t="shared" si="1"/>
        <v>99</v>
      </c>
    </row>
    <row r="52" spans="1:14" x14ac:dyDescent="0.25">
      <c r="A52" s="64">
        <v>83918759</v>
      </c>
      <c r="B52" s="64" t="s">
        <v>357</v>
      </c>
      <c r="C52" s="65">
        <v>237</v>
      </c>
      <c r="D52" s="64">
        <v>18763.29</v>
      </c>
      <c r="E52" s="66"/>
      <c r="F52" s="66"/>
      <c r="G52" s="66"/>
      <c r="H52" s="66"/>
      <c r="I52" s="1">
        <f t="shared" si="0"/>
        <v>237</v>
      </c>
      <c r="M52" s="64">
        <v>83918759</v>
      </c>
      <c r="N52" s="1">
        <f t="shared" si="1"/>
        <v>768</v>
      </c>
    </row>
    <row r="53" spans="1:14" x14ac:dyDescent="0.25">
      <c r="A53" s="64">
        <v>80895517</v>
      </c>
      <c r="B53" s="64" t="s">
        <v>358</v>
      </c>
      <c r="C53" s="65">
        <v>66</v>
      </c>
      <c r="D53" s="64">
        <v>6435</v>
      </c>
      <c r="E53" s="66"/>
      <c r="F53" s="66"/>
      <c r="G53" s="66"/>
      <c r="H53" s="66"/>
      <c r="I53" s="1">
        <f t="shared" si="0"/>
        <v>66</v>
      </c>
      <c r="M53" s="64">
        <v>80895517</v>
      </c>
      <c r="N53" s="1">
        <f t="shared" si="1"/>
        <v>186</v>
      </c>
    </row>
    <row r="54" spans="1:14" x14ac:dyDescent="0.25">
      <c r="A54" s="64">
        <v>83918765</v>
      </c>
      <c r="B54" s="64" t="s">
        <v>359</v>
      </c>
      <c r="C54" s="65">
        <v>549</v>
      </c>
      <c r="D54" s="64">
        <v>278617.5</v>
      </c>
      <c r="E54" s="66" t="s">
        <v>327</v>
      </c>
      <c r="F54" s="66"/>
      <c r="G54" s="66">
        <v>4</v>
      </c>
      <c r="H54" s="66">
        <v>4</v>
      </c>
      <c r="I54" s="1">
        <f t="shared" si="0"/>
        <v>545</v>
      </c>
      <c r="M54" s="64">
        <v>83918765</v>
      </c>
      <c r="N54" s="1">
        <f t="shared" si="1"/>
        <v>1206</v>
      </c>
    </row>
    <row r="55" spans="1:14" x14ac:dyDescent="0.25">
      <c r="A55" s="64">
        <v>83912166</v>
      </c>
      <c r="B55" s="64" t="s">
        <v>360</v>
      </c>
      <c r="C55" s="65">
        <v>147</v>
      </c>
      <c r="D55" s="64">
        <v>12005.49</v>
      </c>
      <c r="E55" s="66" t="s">
        <v>327</v>
      </c>
      <c r="F55" s="66"/>
      <c r="G55" s="66">
        <v>2</v>
      </c>
      <c r="H55" s="66">
        <v>6</v>
      </c>
      <c r="I55" s="1">
        <f t="shared" si="0"/>
        <v>141</v>
      </c>
      <c r="M55" s="64">
        <v>83912166</v>
      </c>
      <c r="N55" s="1">
        <f t="shared" si="1"/>
        <v>327</v>
      </c>
    </row>
    <row r="56" spans="1:14" x14ac:dyDescent="0.25">
      <c r="A56" s="64">
        <v>83933413</v>
      </c>
      <c r="B56" s="64" t="s">
        <v>361</v>
      </c>
      <c r="C56" s="65">
        <v>96</v>
      </c>
      <c r="D56" s="64">
        <v>33308.159999999996</v>
      </c>
      <c r="E56" s="66"/>
      <c r="F56" s="66"/>
      <c r="G56" s="66"/>
      <c r="H56" s="66"/>
      <c r="I56" s="1">
        <f t="shared" si="0"/>
        <v>96</v>
      </c>
      <c r="M56" s="64">
        <v>83933413</v>
      </c>
      <c r="N56" s="1">
        <f t="shared" si="1"/>
        <v>252</v>
      </c>
    </row>
    <row r="57" spans="1:14" x14ac:dyDescent="0.25">
      <c r="A57" s="64">
        <v>80879273</v>
      </c>
      <c r="B57" s="64" t="s">
        <v>362</v>
      </c>
      <c r="C57" s="65">
        <v>48</v>
      </c>
      <c r="D57" s="64">
        <v>3600</v>
      </c>
      <c r="E57" s="66"/>
      <c r="F57" s="66"/>
      <c r="G57" s="66">
        <v>2</v>
      </c>
      <c r="H57" s="66">
        <v>6</v>
      </c>
      <c r="I57" s="1">
        <f t="shared" si="0"/>
        <v>42</v>
      </c>
      <c r="M57" s="64">
        <v>80879273</v>
      </c>
      <c r="N57" s="1">
        <f t="shared" si="1"/>
        <v>120</v>
      </c>
    </row>
    <row r="58" spans="1:14" x14ac:dyDescent="0.25">
      <c r="A58" s="64">
        <v>80879269</v>
      </c>
      <c r="B58" s="64" t="s">
        <v>363</v>
      </c>
      <c r="C58" s="65">
        <v>9</v>
      </c>
      <c r="D58" s="64">
        <v>613.62000000000012</v>
      </c>
      <c r="E58" s="66"/>
      <c r="F58" s="66"/>
      <c r="G58" s="66"/>
      <c r="H58" s="66"/>
      <c r="I58" s="1">
        <f t="shared" si="0"/>
        <v>9</v>
      </c>
      <c r="M58" s="64">
        <v>80879269</v>
      </c>
      <c r="N58" s="1">
        <f t="shared" si="1"/>
        <v>24</v>
      </c>
    </row>
    <row r="59" spans="1:14" x14ac:dyDescent="0.25">
      <c r="A59" s="64">
        <v>80879272</v>
      </c>
      <c r="B59" s="64" t="s">
        <v>364</v>
      </c>
      <c r="C59" s="65">
        <v>6</v>
      </c>
      <c r="D59" s="64">
        <v>409.08000000000004</v>
      </c>
      <c r="E59" s="66"/>
      <c r="F59" s="66"/>
      <c r="G59" s="66">
        <v>1</v>
      </c>
      <c r="H59" s="66">
        <v>3</v>
      </c>
      <c r="I59" s="1">
        <f t="shared" si="0"/>
        <v>3</v>
      </c>
      <c r="M59" s="64">
        <v>80879272</v>
      </c>
      <c r="N59" s="1">
        <f t="shared" si="1"/>
        <v>3</v>
      </c>
    </row>
    <row r="60" spans="1:14" x14ac:dyDescent="0.25">
      <c r="A60" s="64">
        <v>80830098</v>
      </c>
      <c r="B60" s="64" t="s">
        <v>301</v>
      </c>
      <c r="C60" s="65">
        <v>1</v>
      </c>
      <c r="D60" s="64">
        <v>252.17</v>
      </c>
      <c r="E60" s="66"/>
      <c r="F60" s="66"/>
      <c r="G60" s="66"/>
      <c r="H60" s="66"/>
      <c r="I60" s="1">
        <f t="shared" si="0"/>
        <v>1</v>
      </c>
      <c r="M60" s="64">
        <v>80830098</v>
      </c>
      <c r="N60" s="1">
        <f t="shared" si="1"/>
        <v>1</v>
      </c>
    </row>
    <row r="61" spans="1:14" x14ac:dyDescent="0.25">
      <c r="A61" s="64">
        <v>80862572</v>
      </c>
      <c r="B61" s="64" t="s">
        <v>365</v>
      </c>
      <c r="C61" s="65">
        <v>2</v>
      </c>
      <c r="D61" s="64">
        <v>195.26</v>
      </c>
      <c r="E61" s="66"/>
      <c r="F61" s="66"/>
      <c r="G61" s="66"/>
      <c r="H61" s="66"/>
      <c r="I61" s="1">
        <f t="shared" si="0"/>
        <v>2</v>
      </c>
      <c r="M61" s="64">
        <v>80862572</v>
      </c>
      <c r="N61" s="1">
        <f t="shared" si="1"/>
        <v>4</v>
      </c>
    </row>
    <row r="62" spans="1:14" x14ac:dyDescent="0.25">
      <c r="A62" s="64">
        <v>80895630</v>
      </c>
      <c r="B62" s="64" t="s">
        <v>366</v>
      </c>
      <c r="C62" s="65">
        <v>3</v>
      </c>
      <c r="D62" s="64">
        <v>125.16</v>
      </c>
      <c r="E62" s="66"/>
      <c r="F62" s="66"/>
      <c r="G62" s="66"/>
      <c r="H62" s="66"/>
      <c r="I62" s="1">
        <f t="shared" si="0"/>
        <v>3</v>
      </c>
      <c r="M62" s="64">
        <v>80895630</v>
      </c>
      <c r="N62" s="1">
        <f t="shared" si="1"/>
        <v>6</v>
      </c>
    </row>
    <row r="63" spans="1:14" x14ac:dyDescent="0.25">
      <c r="A63" s="64">
        <v>80870946</v>
      </c>
      <c r="B63" s="64" t="s">
        <v>367</v>
      </c>
      <c r="C63" s="65">
        <v>1</v>
      </c>
      <c r="D63" s="64">
        <v>187.75</v>
      </c>
      <c r="E63" s="66"/>
      <c r="F63" s="66"/>
      <c r="G63" s="66"/>
      <c r="H63" s="66"/>
      <c r="I63" s="1">
        <f t="shared" si="0"/>
        <v>1</v>
      </c>
      <c r="M63" s="64">
        <v>80870946</v>
      </c>
      <c r="N63" s="1">
        <f t="shared" si="1"/>
        <v>1</v>
      </c>
    </row>
    <row r="64" spans="1:14" x14ac:dyDescent="0.25">
      <c r="A64" s="64">
        <v>80870358</v>
      </c>
      <c r="B64" s="64" t="s">
        <v>368</v>
      </c>
      <c r="C64" s="65">
        <v>36</v>
      </c>
      <c r="D64" s="64">
        <v>9091.08</v>
      </c>
      <c r="E64" s="66"/>
      <c r="F64" s="66"/>
      <c r="G64" s="66"/>
      <c r="H64" s="66"/>
      <c r="I64" s="1">
        <f t="shared" si="0"/>
        <v>36</v>
      </c>
      <c r="M64" s="64">
        <v>80870358</v>
      </c>
      <c r="N64" s="1">
        <f t="shared" si="1"/>
        <v>81</v>
      </c>
    </row>
    <row r="65" spans="1:14" x14ac:dyDescent="0.25">
      <c r="A65" s="64">
        <v>80869896</v>
      </c>
      <c r="B65" s="64" t="s">
        <v>369</v>
      </c>
      <c r="C65" s="65">
        <v>252</v>
      </c>
      <c r="D65" s="64">
        <v>12486.599999999999</v>
      </c>
      <c r="E65" s="66" t="s">
        <v>370</v>
      </c>
      <c r="F65" s="66"/>
      <c r="G65" s="66">
        <v>2</v>
      </c>
      <c r="H65" s="66">
        <v>6</v>
      </c>
      <c r="I65" s="1">
        <f t="shared" si="0"/>
        <v>246</v>
      </c>
      <c r="M65" s="64">
        <v>80869896</v>
      </c>
      <c r="N65" s="1">
        <f t="shared" si="1"/>
        <v>450</v>
      </c>
    </row>
    <row r="66" spans="1:14" x14ac:dyDescent="0.25">
      <c r="A66" s="64">
        <v>83911635</v>
      </c>
      <c r="B66" s="64" t="s">
        <v>371</v>
      </c>
      <c r="C66" s="65">
        <v>1428</v>
      </c>
      <c r="D66" s="64">
        <v>64317.119999999995</v>
      </c>
      <c r="E66" s="67" t="s">
        <v>306</v>
      </c>
      <c r="F66" s="66"/>
      <c r="G66" s="66">
        <v>1</v>
      </c>
      <c r="H66" s="66">
        <v>4</v>
      </c>
      <c r="I66" s="1">
        <f t="shared" ref="I66:I129" si="2">C66-H66</f>
        <v>1424</v>
      </c>
      <c r="M66" s="64">
        <v>83911635</v>
      </c>
      <c r="N66" s="1">
        <f t="shared" ref="N66:N99" si="3">SUMIF($A$1:$A$453,M66,$I$1:$I$453)</f>
        <v>2584</v>
      </c>
    </row>
    <row r="67" spans="1:14" x14ac:dyDescent="0.25">
      <c r="A67" s="64">
        <v>83911777</v>
      </c>
      <c r="B67" s="64" t="s">
        <v>372</v>
      </c>
      <c r="C67" s="65">
        <v>92</v>
      </c>
      <c r="D67" s="64">
        <v>3314.76</v>
      </c>
      <c r="E67" s="66"/>
      <c r="F67" s="66"/>
      <c r="G67" s="66">
        <v>1</v>
      </c>
      <c r="H67" s="66">
        <v>4</v>
      </c>
      <c r="I67" s="1">
        <f t="shared" si="2"/>
        <v>88</v>
      </c>
      <c r="M67" s="64">
        <v>83911777</v>
      </c>
      <c r="N67" s="1">
        <f t="shared" si="3"/>
        <v>204</v>
      </c>
    </row>
    <row r="68" spans="1:14" x14ac:dyDescent="0.25">
      <c r="A68" s="64">
        <v>83911783</v>
      </c>
      <c r="B68" s="64" t="s">
        <v>373</v>
      </c>
      <c r="C68" s="65">
        <v>112</v>
      </c>
      <c r="D68" s="64">
        <v>4540.4799999999996</v>
      </c>
      <c r="E68" s="66"/>
      <c r="F68" s="66"/>
      <c r="G68" s="66"/>
      <c r="H68" s="66"/>
      <c r="I68" s="1">
        <f t="shared" si="2"/>
        <v>112</v>
      </c>
      <c r="M68" s="64">
        <v>83911783</v>
      </c>
      <c r="N68" s="1">
        <f t="shared" si="3"/>
        <v>200</v>
      </c>
    </row>
    <row r="69" spans="1:14" x14ac:dyDescent="0.25">
      <c r="A69" s="64">
        <v>80869511</v>
      </c>
      <c r="B69" s="64" t="s">
        <v>374</v>
      </c>
      <c r="C69" s="65">
        <v>10</v>
      </c>
      <c r="D69" s="64">
        <v>1981.9</v>
      </c>
      <c r="E69" s="68">
        <v>-2</v>
      </c>
      <c r="F69" s="66"/>
      <c r="G69" s="66">
        <v>1</v>
      </c>
      <c r="H69" s="66">
        <v>2</v>
      </c>
      <c r="I69" s="1">
        <f t="shared" si="2"/>
        <v>8</v>
      </c>
      <c r="M69" s="64">
        <v>80869511</v>
      </c>
      <c r="N69" s="1">
        <f t="shared" si="3"/>
        <v>11</v>
      </c>
    </row>
    <row r="70" spans="1:14" x14ac:dyDescent="0.25">
      <c r="A70" s="64">
        <v>80870015</v>
      </c>
      <c r="B70" s="64" t="s">
        <v>375</v>
      </c>
      <c r="C70" s="65">
        <v>3</v>
      </c>
      <c r="D70" s="64">
        <v>460.5</v>
      </c>
      <c r="E70" s="66" t="s">
        <v>320</v>
      </c>
      <c r="F70" s="66"/>
      <c r="G70" s="66">
        <v>1</v>
      </c>
      <c r="H70" s="66">
        <v>2</v>
      </c>
      <c r="I70" s="1">
        <f t="shared" si="2"/>
        <v>1</v>
      </c>
      <c r="M70" s="64">
        <v>80870015</v>
      </c>
      <c r="N70" s="1">
        <f t="shared" si="3"/>
        <v>3</v>
      </c>
    </row>
    <row r="71" spans="1:14" x14ac:dyDescent="0.25">
      <c r="A71" s="64">
        <v>80870357</v>
      </c>
      <c r="B71" s="64" t="s">
        <v>376</v>
      </c>
      <c r="C71" s="65">
        <v>101</v>
      </c>
      <c r="D71" s="64">
        <v>23464.32</v>
      </c>
      <c r="E71" s="66"/>
      <c r="F71" s="66"/>
      <c r="G71" s="66"/>
      <c r="H71" s="66"/>
      <c r="I71" s="1">
        <f t="shared" si="2"/>
        <v>101</v>
      </c>
      <c r="M71" s="64">
        <v>80870357</v>
      </c>
      <c r="N71" s="1">
        <f t="shared" si="3"/>
        <v>178</v>
      </c>
    </row>
    <row r="72" spans="1:14" x14ac:dyDescent="0.25">
      <c r="A72" s="64">
        <v>83916746</v>
      </c>
      <c r="B72" s="64" t="s">
        <v>377</v>
      </c>
      <c r="C72" s="65">
        <v>27</v>
      </c>
      <c r="D72" s="64">
        <v>2723.7599999999998</v>
      </c>
      <c r="E72" s="66"/>
      <c r="F72" s="66"/>
      <c r="G72" s="66"/>
      <c r="H72" s="66"/>
      <c r="I72" s="1">
        <f t="shared" si="2"/>
        <v>27</v>
      </c>
      <c r="M72" s="64">
        <v>83916746</v>
      </c>
      <c r="N72" s="1">
        <f t="shared" si="3"/>
        <v>57</v>
      </c>
    </row>
    <row r="73" spans="1:14" x14ac:dyDescent="0.25">
      <c r="A73" s="64">
        <v>80887674</v>
      </c>
      <c r="B73" s="64" t="s">
        <v>378</v>
      </c>
      <c r="C73" s="65">
        <v>12</v>
      </c>
      <c r="D73" s="64">
        <v>1578.96</v>
      </c>
      <c r="E73" s="66"/>
      <c r="F73" s="66"/>
      <c r="G73" s="66"/>
      <c r="H73" s="66"/>
      <c r="I73" s="1">
        <f t="shared" si="2"/>
        <v>12</v>
      </c>
      <c r="M73" s="64">
        <v>80887674</v>
      </c>
      <c r="N73" s="1">
        <f t="shared" si="3"/>
        <v>24</v>
      </c>
    </row>
    <row r="74" spans="1:14" x14ac:dyDescent="0.25">
      <c r="A74" s="64">
        <v>83914233</v>
      </c>
      <c r="B74" s="64" t="s">
        <v>379</v>
      </c>
      <c r="C74" s="65">
        <v>15</v>
      </c>
      <c r="D74" s="64">
        <v>1081.2</v>
      </c>
      <c r="E74" s="66"/>
      <c r="F74" s="66"/>
      <c r="G74" s="66"/>
      <c r="H74" s="66"/>
      <c r="I74" s="1">
        <f t="shared" si="2"/>
        <v>15</v>
      </c>
      <c r="M74" s="64">
        <v>83914233</v>
      </c>
      <c r="N74" s="1">
        <f t="shared" si="3"/>
        <v>18</v>
      </c>
    </row>
    <row r="75" spans="1:14" x14ac:dyDescent="0.25">
      <c r="A75" s="64">
        <v>80893410</v>
      </c>
      <c r="B75" s="64" t="s">
        <v>380</v>
      </c>
      <c r="C75" s="65">
        <v>39</v>
      </c>
      <c r="D75" s="64">
        <v>3478.41</v>
      </c>
      <c r="E75" s="66"/>
      <c r="F75" s="66"/>
      <c r="G75" s="66"/>
      <c r="H75" s="66"/>
      <c r="I75" s="1">
        <f t="shared" si="2"/>
        <v>39</v>
      </c>
      <c r="M75" s="64">
        <v>80893410</v>
      </c>
      <c r="N75" s="1">
        <f t="shared" si="3"/>
        <v>99</v>
      </c>
    </row>
    <row r="76" spans="1:14" x14ac:dyDescent="0.25">
      <c r="A76" s="64">
        <v>83904003</v>
      </c>
      <c r="B76" s="64" t="s">
        <v>305</v>
      </c>
      <c r="C76" s="65">
        <v>12</v>
      </c>
      <c r="D76" s="64">
        <v>1322.4</v>
      </c>
      <c r="E76" s="66"/>
      <c r="F76" s="66"/>
      <c r="G76" s="66"/>
      <c r="H76" s="66"/>
      <c r="I76" s="1">
        <f t="shared" si="2"/>
        <v>12</v>
      </c>
      <c r="M76" s="64">
        <v>80866728</v>
      </c>
      <c r="N76" s="1">
        <f t="shared" si="3"/>
        <v>5</v>
      </c>
    </row>
    <row r="77" spans="1:14" x14ac:dyDescent="0.25">
      <c r="A77" s="64">
        <v>80867316</v>
      </c>
      <c r="B77" s="64" t="s">
        <v>310</v>
      </c>
      <c r="C77" s="65">
        <v>8</v>
      </c>
      <c r="D77" s="64">
        <v>707.12</v>
      </c>
      <c r="E77" s="66"/>
      <c r="F77" s="66"/>
      <c r="G77" s="66"/>
      <c r="H77" s="66"/>
      <c r="I77" s="1">
        <f t="shared" si="2"/>
        <v>8</v>
      </c>
      <c r="M77" s="64">
        <v>80866725</v>
      </c>
      <c r="N77" s="1">
        <f t="shared" si="3"/>
        <v>5</v>
      </c>
    </row>
    <row r="78" spans="1:14" x14ac:dyDescent="0.25">
      <c r="A78" s="64">
        <v>80896468</v>
      </c>
      <c r="B78" s="64" t="s">
        <v>311</v>
      </c>
      <c r="C78" s="65">
        <v>6</v>
      </c>
      <c r="D78" s="64">
        <v>297.60000000000002</v>
      </c>
      <c r="E78" s="66"/>
      <c r="F78" s="66"/>
      <c r="G78" s="66"/>
      <c r="H78" s="66"/>
      <c r="I78" s="1">
        <f t="shared" si="2"/>
        <v>6</v>
      </c>
      <c r="M78" s="64">
        <v>80818341</v>
      </c>
      <c r="N78" s="1">
        <f t="shared" si="3"/>
        <v>5</v>
      </c>
    </row>
    <row r="79" spans="1:14" x14ac:dyDescent="0.25">
      <c r="A79" s="64">
        <v>80876082</v>
      </c>
      <c r="B79" s="64" t="s">
        <v>312</v>
      </c>
      <c r="C79" s="65">
        <v>2</v>
      </c>
      <c r="D79" s="64">
        <v>623.20000000000005</v>
      </c>
      <c r="E79" s="66"/>
      <c r="F79" s="66"/>
      <c r="G79" s="66"/>
      <c r="H79" s="66"/>
      <c r="I79" s="1">
        <f t="shared" si="2"/>
        <v>2</v>
      </c>
      <c r="M79" s="64">
        <v>80830411</v>
      </c>
      <c r="N79" s="1">
        <f t="shared" si="3"/>
        <v>6</v>
      </c>
    </row>
    <row r="80" spans="1:14" x14ac:dyDescent="0.25">
      <c r="A80" s="64">
        <v>80862828</v>
      </c>
      <c r="B80" s="64" t="s">
        <v>314</v>
      </c>
      <c r="C80" s="65">
        <v>3</v>
      </c>
      <c r="D80" s="64">
        <v>190.2</v>
      </c>
      <c r="E80" s="66"/>
      <c r="F80" s="66"/>
      <c r="G80" s="66"/>
      <c r="H80" s="66"/>
      <c r="I80" s="1">
        <f t="shared" si="2"/>
        <v>3</v>
      </c>
      <c r="M80" s="64">
        <v>80843635</v>
      </c>
      <c r="N80" s="1">
        <f t="shared" si="3"/>
        <v>1</v>
      </c>
    </row>
    <row r="81" spans="1:14" x14ac:dyDescent="0.25">
      <c r="A81" s="64">
        <v>80866728</v>
      </c>
      <c r="B81" s="64" t="s">
        <v>381</v>
      </c>
      <c r="C81" s="65">
        <v>2</v>
      </c>
      <c r="D81" s="64">
        <v>482.14</v>
      </c>
      <c r="E81" s="66"/>
      <c r="F81" s="66"/>
      <c r="G81" s="66"/>
      <c r="H81" s="66"/>
      <c r="I81" s="1">
        <f t="shared" si="2"/>
        <v>2</v>
      </c>
      <c r="M81" s="64">
        <v>80876990</v>
      </c>
      <c r="N81" s="1">
        <f t="shared" si="3"/>
        <v>2</v>
      </c>
    </row>
    <row r="82" spans="1:14" x14ac:dyDescent="0.25">
      <c r="A82" s="64">
        <v>80866725</v>
      </c>
      <c r="B82" s="64" t="s">
        <v>382</v>
      </c>
      <c r="C82" s="65">
        <v>1</v>
      </c>
      <c r="D82" s="64">
        <v>241.07</v>
      </c>
      <c r="E82" s="66"/>
      <c r="F82" s="66"/>
      <c r="G82" s="66"/>
      <c r="H82" s="66"/>
      <c r="I82" s="1">
        <f t="shared" si="2"/>
        <v>1</v>
      </c>
      <c r="M82" s="64">
        <v>83916219</v>
      </c>
      <c r="N82" s="1">
        <f t="shared" si="3"/>
        <v>8</v>
      </c>
    </row>
    <row r="83" spans="1:14" x14ac:dyDescent="0.25">
      <c r="A83" s="64">
        <v>80866723</v>
      </c>
      <c r="B83" s="64" t="s">
        <v>317</v>
      </c>
      <c r="C83" s="65">
        <v>44</v>
      </c>
      <c r="D83" s="64">
        <v>11392.480000000001</v>
      </c>
      <c r="E83" s="66"/>
      <c r="F83" s="66"/>
      <c r="G83" s="66"/>
      <c r="H83" s="66"/>
      <c r="I83" s="1">
        <f t="shared" si="2"/>
        <v>44</v>
      </c>
      <c r="M83" s="64">
        <v>80780342</v>
      </c>
      <c r="N83" s="1">
        <f t="shared" si="3"/>
        <v>1</v>
      </c>
    </row>
    <row r="84" spans="1:14" x14ac:dyDescent="0.25">
      <c r="A84" s="64">
        <v>80866729</v>
      </c>
      <c r="B84" s="64" t="s">
        <v>318</v>
      </c>
      <c r="C84" s="65">
        <v>104</v>
      </c>
      <c r="D84" s="64">
        <v>26927.68</v>
      </c>
      <c r="E84" s="66"/>
      <c r="F84" s="66"/>
      <c r="G84" s="66">
        <v>1</v>
      </c>
      <c r="H84" s="66">
        <v>3</v>
      </c>
      <c r="I84" s="1">
        <f t="shared" si="2"/>
        <v>101</v>
      </c>
      <c r="M84" s="64">
        <v>80830097</v>
      </c>
      <c r="N84" s="1">
        <f t="shared" si="3"/>
        <v>5</v>
      </c>
    </row>
    <row r="85" spans="1:14" x14ac:dyDescent="0.25">
      <c r="A85" s="64">
        <v>80875507</v>
      </c>
      <c r="B85" s="64" t="s">
        <v>319</v>
      </c>
      <c r="C85" s="65">
        <v>2</v>
      </c>
      <c r="D85" s="64">
        <v>187.48</v>
      </c>
      <c r="E85" s="66"/>
      <c r="F85" s="66"/>
      <c r="G85" s="66"/>
      <c r="H85" s="66"/>
      <c r="I85" s="1">
        <f t="shared" si="2"/>
        <v>2</v>
      </c>
      <c r="M85" s="64">
        <v>83908992</v>
      </c>
      <c r="N85" s="1">
        <f t="shared" si="3"/>
        <v>2</v>
      </c>
    </row>
    <row r="86" spans="1:14" x14ac:dyDescent="0.25">
      <c r="A86" s="64">
        <v>80864300</v>
      </c>
      <c r="B86" s="64" t="s">
        <v>321</v>
      </c>
      <c r="C86" s="65">
        <v>2</v>
      </c>
      <c r="D86" s="64">
        <v>173.1</v>
      </c>
      <c r="E86" s="66"/>
      <c r="F86" s="66"/>
      <c r="G86" s="66"/>
      <c r="H86" s="66"/>
      <c r="I86" s="1">
        <f t="shared" si="2"/>
        <v>2</v>
      </c>
      <c r="M86" s="64">
        <v>80866727</v>
      </c>
      <c r="N86" s="1">
        <f t="shared" si="3"/>
        <v>1</v>
      </c>
    </row>
    <row r="87" spans="1:14" x14ac:dyDescent="0.25">
      <c r="A87" s="64">
        <v>80818341</v>
      </c>
      <c r="B87" s="64" t="s">
        <v>383</v>
      </c>
      <c r="C87" s="65">
        <v>3</v>
      </c>
      <c r="D87" s="64">
        <v>468.78</v>
      </c>
      <c r="E87" s="66"/>
      <c r="F87" s="66"/>
      <c r="G87" s="66"/>
      <c r="H87" s="66"/>
      <c r="I87" s="1">
        <f t="shared" si="2"/>
        <v>3</v>
      </c>
      <c r="M87" s="64">
        <v>80803712</v>
      </c>
      <c r="N87" s="1">
        <f t="shared" si="3"/>
        <v>2</v>
      </c>
    </row>
    <row r="88" spans="1:14" x14ac:dyDescent="0.25">
      <c r="A88" s="64">
        <v>80875513</v>
      </c>
      <c r="B88" s="64" t="s">
        <v>322</v>
      </c>
      <c r="C88" s="65">
        <v>9</v>
      </c>
      <c r="D88" s="64">
        <v>1381.5</v>
      </c>
      <c r="E88" s="66"/>
      <c r="F88" s="66"/>
      <c r="G88" s="66"/>
      <c r="H88" s="66"/>
      <c r="I88" s="1">
        <f t="shared" si="2"/>
        <v>9</v>
      </c>
      <c r="M88" s="64">
        <v>83924708</v>
      </c>
      <c r="N88" s="1">
        <f t="shared" si="3"/>
        <v>40</v>
      </c>
    </row>
    <row r="89" spans="1:14" x14ac:dyDescent="0.25">
      <c r="A89" s="64">
        <v>80840354</v>
      </c>
      <c r="B89" s="64" t="s">
        <v>323</v>
      </c>
      <c r="C89" s="65">
        <v>7</v>
      </c>
      <c r="D89" s="64">
        <v>2302.65</v>
      </c>
      <c r="E89" s="66"/>
      <c r="F89" s="66"/>
      <c r="G89" s="66"/>
      <c r="H89" s="66"/>
      <c r="I89" s="1">
        <f t="shared" si="2"/>
        <v>7</v>
      </c>
      <c r="M89" s="64">
        <v>83925440</v>
      </c>
      <c r="N89" s="1">
        <f t="shared" si="3"/>
        <v>44</v>
      </c>
    </row>
    <row r="90" spans="1:14" x14ac:dyDescent="0.25">
      <c r="A90" s="64">
        <v>80840352</v>
      </c>
      <c r="B90" s="64" t="s">
        <v>324</v>
      </c>
      <c r="C90" s="65">
        <v>2</v>
      </c>
      <c r="D90" s="64">
        <v>833.34</v>
      </c>
      <c r="E90" s="66"/>
      <c r="F90" s="66"/>
      <c r="G90" s="66"/>
      <c r="H90" s="66"/>
      <c r="I90" s="1">
        <f t="shared" si="2"/>
        <v>2</v>
      </c>
      <c r="M90" s="64">
        <v>80895791</v>
      </c>
      <c r="N90" s="1">
        <f t="shared" si="3"/>
        <v>2</v>
      </c>
    </row>
    <row r="91" spans="1:14" x14ac:dyDescent="0.25">
      <c r="A91" s="64">
        <v>80864296</v>
      </c>
      <c r="B91" s="64" t="s">
        <v>325</v>
      </c>
      <c r="C91" s="65">
        <v>6</v>
      </c>
      <c r="D91" s="64">
        <v>521.09999999999991</v>
      </c>
      <c r="E91" s="66"/>
      <c r="F91" s="66"/>
      <c r="G91" s="66"/>
      <c r="H91" s="66"/>
      <c r="I91" s="1">
        <f t="shared" si="2"/>
        <v>6</v>
      </c>
      <c r="M91" s="64">
        <v>80739423</v>
      </c>
      <c r="N91" s="1">
        <f t="shared" si="3"/>
        <v>2</v>
      </c>
    </row>
    <row r="92" spans="1:14" x14ac:dyDescent="0.25">
      <c r="A92" s="64">
        <v>80864297</v>
      </c>
      <c r="B92" s="64" t="s">
        <v>326</v>
      </c>
      <c r="C92" s="65">
        <v>72</v>
      </c>
      <c r="D92" s="64">
        <v>11052</v>
      </c>
      <c r="E92" s="66"/>
      <c r="F92" s="66"/>
      <c r="G92" s="66"/>
      <c r="H92" s="66"/>
      <c r="I92" s="1">
        <f t="shared" si="2"/>
        <v>72</v>
      </c>
      <c r="M92" s="64">
        <v>80830420</v>
      </c>
      <c r="N92" s="1">
        <f t="shared" si="3"/>
        <v>1</v>
      </c>
    </row>
    <row r="93" spans="1:14" x14ac:dyDescent="0.25">
      <c r="A93" s="64">
        <v>80832389</v>
      </c>
      <c r="B93" s="64" t="s">
        <v>328</v>
      </c>
      <c r="C93" s="65">
        <v>4</v>
      </c>
      <c r="D93" s="64">
        <v>1315.8</v>
      </c>
      <c r="E93" s="66"/>
      <c r="F93" s="66"/>
      <c r="G93" s="66"/>
      <c r="H93" s="66"/>
      <c r="I93" s="1">
        <f t="shared" si="2"/>
        <v>4</v>
      </c>
      <c r="M93" s="64">
        <v>80753180</v>
      </c>
      <c r="N93" s="1">
        <f t="shared" si="3"/>
        <v>3</v>
      </c>
    </row>
    <row r="94" spans="1:14" x14ac:dyDescent="0.25">
      <c r="A94" s="64">
        <v>80832398</v>
      </c>
      <c r="B94" s="64" t="s">
        <v>329</v>
      </c>
      <c r="C94" s="65">
        <v>4</v>
      </c>
      <c r="D94" s="64">
        <v>1140.3599999999999</v>
      </c>
      <c r="E94" s="66"/>
      <c r="F94" s="66"/>
      <c r="G94" s="66"/>
      <c r="H94" s="66"/>
      <c r="I94" s="1">
        <f t="shared" si="2"/>
        <v>4</v>
      </c>
      <c r="M94" s="64">
        <v>80818346</v>
      </c>
      <c r="N94" s="1">
        <f t="shared" si="3"/>
        <v>3</v>
      </c>
    </row>
    <row r="95" spans="1:14" x14ac:dyDescent="0.25">
      <c r="A95" s="64">
        <v>80832394</v>
      </c>
      <c r="B95" s="64" t="s">
        <v>331</v>
      </c>
      <c r="C95" s="65">
        <v>3</v>
      </c>
      <c r="D95" s="64">
        <v>1118.4000000000001</v>
      </c>
      <c r="E95" s="66"/>
      <c r="F95" s="66"/>
      <c r="G95" s="66"/>
      <c r="H95" s="66"/>
      <c r="I95" s="1">
        <f t="shared" si="2"/>
        <v>3</v>
      </c>
      <c r="M95" s="64">
        <v>83911268</v>
      </c>
      <c r="N95" s="1">
        <f t="shared" si="3"/>
        <v>18</v>
      </c>
    </row>
    <row r="96" spans="1:14" x14ac:dyDescent="0.25">
      <c r="A96" s="64">
        <v>83911270</v>
      </c>
      <c r="B96" s="64" t="s">
        <v>332</v>
      </c>
      <c r="C96" s="65">
        <v>24</v>
      </c>
      <c r="D96" s="64">
        <v>1723.44</v>
      </c>
      <c r="E96" s="66"/>
      <c r="F96" s="66"/>
      <c r="G96" s="66"/>
      <c r="H96" s="66"/>
      <c r="I96" s="1">
        <f t="shared" si="2"/>
        <v>24</v>
      </c>
      <c r="M96" s="64">
        <v>80894404</v>
      </c>
      <c r="N96" s="1">
        <f t="shared" si="3"/>
        <v>2</v>
      </c>
    </row>
    <row r="97" spans="1:14" x14ac:dyDescent="0.25">
      <c r="A97" s="64">
        <v>80892904</v>
      </c>
      <c r="B97" s="64" t="s">
        <v>333</v>
      </c>
      <c r="C97" s="65">
        <v>63</v>
      </c>
      <c r="D97" s="64">
        <v>4524.03</v>
      </c>
      <c r="E97" s="66"/>
      <c r="F97" s="69" t="s">
        <v>384</v>
      </c>
      <c r="G97" s="66"/>
      <c r="H97" s="66"/>
      <c r="I97" s="1">
        <f t="shared" si="2"/>
        <v>63</v>
      </c>
      <c r="M97" s="64">
        <v>80895482</v>
      </c>
      <c r="N97" s="1">
        <f t="shared" si="3"/>
        <v>2</v>
      </c>
    </row>
    <row r="98" spans="1:14" x14ac:dyDescent="0.25">
      <c r="A98" s="64">
        <v>83911280</v>
      </c>
      <c r="B98" s="64" t="s">
        <v>334</v>
      </c>
      <c r="C98" s="65">
        <v>9</v>
      </c>
      <c r="D98" s="64">
        <v>646.29</v>
      </c>
      <c r="E98" s="66"/>
      <c r="F98" s="66"/>
      <c r="G98" s="66"/>
      <c r="H98" s="66"/>
      <c r="I98" s="1">
        <f t="shared" si="2"/>
        <v>9</v>
      </c>
      <c r="M98" s="64">
        <v>80895503</v>
      </c>
      <c r="N98" s="1">
        <f t="shared" si="3"/>
        <v>6</v>
      </c>
    </row>
    <row r="99" spans="1:14" x14ac:dyDescent="0.25">
      <c r="A99" s="64">
        <v>80880909</v>
      </c>
      <c r="B99" s="64" t="s">
        <v>335</v>
      </c>
      <c r="C99" s="65">
        <v>6</v>
      </c>
      <c r="D99" s="64">
        <v>463.62</v>
      </c>
      <c r="E99" s="66"/>
      <c r="F99" s="66"/>
      <c r="G99" s="66"/>
      <c r="H99" s="66"/>
      <c r="I99" s="1">
        <f t="shared" si="2"/>
        <v>6</v>
      </c>
      <c r="M99" s="64">
        <v>80885888</v>
      </c>
      <c r="N99" s="1">
        <f t="shared" si="3"/>
        <v>9</v>
      </c>
    </row>
    <row r="100" spans="1:14" x14ac:dyDescent="0.25">
      <c r="A100" s="64">
        <v>83911276</v>
      </c>
      <c r="B100" s="64" t="s">
        <v>336</v>
      </c>
      <c r="C100" s="65">
        <v>6</v>
      </c>
      <c r="D100" s="64">
        <v>430.86</v>
      </c>
      <c r="E100" s="66"/>
      <c r="F100" s="66"/>
      <c r="G100" s="66"/>
      <c r="H100" s="66"/>
      <c r="I100" s="1">
        <f t="shared" si="2"/>
        <v>6</v>
      </c>
    </row>
    <row r="101" spans="1:14" x14ac:dyDescent="0.25">
      <c r="A101" s="64">
        <v>83911281</v>
      </c>
      <c r="B101" s="64" t="s">
        <v>337</v>
      </c>
      <c r="C101" s="65">
        <v>12</v>
      </c>
      <c r="D101" s="64">
        <v>861.72</v>
      </c>
      <c r="E101" s="66"/>
      <c r="F101" s="66"/>
      <c r="G101" s="66"/>
      <c r="H101" s="66"/>
      <c r="I101" s="1">
        <f t="shared" si="2"/>
        <v>12</v>
      </c>
    </row>
    <row r="102" spans="1:14" x14ac:dyDescent="0.25">
      <c r="A102" s="64">
        <v>80830411</v>
      </c>
      <c r="B102" s="64" t="s">
        <v>385</v>
      </c>
      <c r="C102" s="65">
        <v>1</v>
      </c>
      <c r="D102" s="64">
        <v>276.79000000000002</v>
      </c>
      <c r="E102" s="66"/>
      <c r="F102" s="66"/>
      <c r="G102" s="66"/>
      <c r="H102" s="66"/>
      <c r="I102" s="1">
        <f t="shared" si="2"/>
        <v>1</v>
      </c>
    </row>
    <row r="103" spans="1:14" x14ac:dyDescent="0.25">
      <c r="A103" s="64">
        <v>80895603</v>
      </c>
      <c r="B103" s="64" t="s">
        <v>340</v>
      </c>
      <c r="C103" s="65">
        <v>2</v>
      </c>
      <c r="D103" s="64">
        <v>176.68</v>
      </c>
      <c r="E103" s="66"/>
      <c r="F103" s="66"/>
      <c r="G103" s="66"/>
      <c r="H103" s="66"/>
      <c r="I103" s="1">
        <f t="shared" si="2"/>
        <v>2</v>
      </c>
    </row>
    <row r="104" spans="1:14" x14ac:dyDescent="0.25">
      <c r="A104" s="64">
        <v>80843635</v>
      </c>
      <c r="B104" s="64" t="s">
        <v>386</v>
      </c>
      <c r="C104" s="65">
        <v>1</v>
      </c>
      <c r="D104" s="64">
        <v>540.83000000000004</v>
      </c>
      <c r="E104" s="66"/>
      <c r="F104" s="66"/>
      <c r="G104" s="66"/>
      <c r="H104" s="66"/>
      <c r="I104" s="1">
        <f t="shared" si="2"/>
        <v>1</v>
      </c>
    </row>
    <row r="105" spans="1:14" x14ac:dyDescent="0.25">
      <c r="A105" s="64">
        <v>80895465</v>
      </c>
      <c r="B105" s="64" t="s">
        <v>343</v>
      </c>
      <c r="C105" s="65">
        <v>9</v>
      </c>
      <c r="D105" s="64">
        <v>2926.9800000000005</v>
      </c>
      <c r="E105" s="66"/>
      <c r="F105" s="66"/>
      <c r="G105" s="66"/>
      <c r="H105" s="66"/>
      <c r="I105" s="1">
        <f t="shared" si="2"/>
        <v>9</v>
      </c>
    </row>
    <row r="106" spans="1:14" x14ac:dyDescent="0.25">
      <c r="A106" s="64">
        <v>83921920</v>
      </c>
      <c r="B106" s="64" t="s">
        <v>344</v>
      </c>
      <c r="C106" s="65">
        <v>2</v>
      </c>
      <c r="D106" s="64">
        <v>583.34</v>
      </c>
      <c r="E106" s="66"/>
      <c r="F106" s="66"/>
      <c r="G106" s="66"/>
      <c r="H106" s="66"/>
      <c r="I106" s="1">
        <f t="shared" si="2"/>
        <v>2</v>
      </c>
    </row>
    <row r="107" spans="1:14" x14ac:dyDescent="0.25">
      <c r="A107" s="64">
        <v>80887983</v>
      </c>
      <c r="B107" s="64" t="s">
        <v>345</v>
      </c>
      <c r="C107" s="65">
        <v>1</v>
      </c>
      <c r="D107" s="64">
        <v>466.67</v>
      </c>
      <c r="E107" s="66"/>
      <c r="F107" s="66"/>
      <c r="G107" s="66"/>
      <c r="H107" s="66"/>
      <c r="I107" s="1">
        <f t="shared" si="2"/>
        <v>1</v>
      </c>
    </row>
    <row r="108" spans="1:14" x14ac:dyDescent="0.25">
      <c r="A108" s="64">
        <v>83921921</v>
      </c>
      <c r="B108" s="64" t="s">
        <v>346</v>
      </c>
      <c r="C108" s="65">
        <v>19</v>
      </c>
      <c r="D108" s="64">
        <v>5541.7300000000005</v>
      </c>
      <c r="E108" s="66"/>
      <c r="F108" s="66"/>
      <c r="G108" s="66"/>
      <c r="H108" s="66"/>
      <c r="I108" s="1">
        <f t="shared" si="2"/>
        <v>19</v>
      </c>
    </row>
    <row r="109" spans="1:14" x14ac:dyDescent="0.25">
      <c r="A109" s="64">
        <v>83918762</v>
      </c>
      <c r="B109" s="64" t="s">
        <v>347</v>
      </c>
      <c r="C109" s="65">
        <v>3</v>
      </c>
      <c r="D109" s="64">
        <v>1522.5</v>
      </c>
      <c r="E109" s="66"/>
      <c r="F109" s="66"/>
      <c r="G109" s="66"/>
      <c r="H109" s="66"/>
      <c r="I109" s="1">
        <f t="shared" si="2"/>
        <v>3</v>
      </c>
    </row>
    <row r="110" spans="1:14" x14ac:dyDescent="0.25">
      <c r="A110" s="64">
        <v>83921924</v>
      </c>
      <c r="B110" s="64" t="s">
        <v>348</v>
      </c>
      <c r="C110" s="65">
        <v>43</v>
      </c>
      <c r="D110" s="64">
        <v>12541.810000000001</v>
      </c>
      <c r="E110" s="66"/>
      <c r="F110" s="70" t="s">
        <v>387</v>
      </c>
      <c r="G110" s="66">
        <v>1</v>
      </c>
      <c r="H110" s="66">
        <v>1</v>
      </c>
      <c r="I110" s="1">
        <f t="shared" si="2"/>
        <v>42</v>
      </c>
    </row>
    <row r="111" spans="1:14" x14ac:dyDescent="0.25">
      <c r="A111" s="64">
        <v>83921923</v>
      </c>
      <c r="B111" s="64" t="s">
        <v>349</v>
      </c>
      <c r="C111" s="65">
        <v>21</v>
      </c>
      <c r="D111" s="64">
        <v>6125.0700000000006</v>
      </c>
      <c r="E111" s="66"/>
      <c r="F111" s="66"/>
      <c r="G111" s="66"/>
      <c r="H111" s="66"/>
      <c r="I111" s="1">
        <f t="shared" si="2"/>
        <v>21</v>
      </c>
    </row>
    <row r="112" spans="1:14" x14ac:dyDescent="0.25">
      <c r="A112" s="64">
        <v>80887692</v>
      </c>
      <c r="B112" s="64" t="s">
        <v>350</v>
      </c>
      <c r="C112" s="65">
        <v>2</v>
      </c>
      <c r="D112" s="64">
        <v>608.67999999999995</v>
      </c>
      <c r="E112" s="66"/>
      <c r="F112" s="66"/>
      <c r="G112" s="66"/>
      <c r="H112" s="66"/>
      <c r="I112" s="1">
        <f t="shared" si="2"/>
        <v>2</v>
      </c>
    </row>
    <row r="113" spans="1:9" x14ac:dyDescent="0.25">
      <c r="A113" s="64">
        <v>80895500</v>
      </c>
      <c r="B113" s="64" t="s">
        <v>352</v>
      </c>
      <c r="C113" s="65">
        <v>3</v>
      </c>
      <c r="D113" s="64">
        <v>232.5</v>
      </c>
      <c r="E113" s="66"/>
      <c r="F113" s="66"/>
      <c r="G113" s="66"/>
      <c r="H113" s="66"/>
      <c r="I113" s="1">
        <f t="shared" si="2"/>
        <v>3</v>
      </c>
    </row>
    <row r="114" spans="1:9" x14ac:dyDescent="0.25">
      <c r="A114" s="64">
        <v>83912172</v>
      </c>
      <c r="B114" s="64" t="s">
        <v>353</v>
      </c>
      <c r="C114" s="65">
        <v>27</v>
      </c>
      <c r="D114" s="64">
        <v>2092.5</v>
      </c>
      <c r="E114" s="66"/>
      <c r="F114" s="66"/>
      <c r="G114" s="66"/>
      <c r="H114" s="66"/>
      <c r="I114" s="1">
        <f t="shared" si="2"/>
        <v>27</v>
      </c>
    </row>
    <row r="115" spans="1:9" x14ac:dyDescent="0.25">
      <c r="A115" s="64">
        <v>83912164</v>
      </c>
      <c r="B115" s="64" t="s">
        <v>355</v>
      </c>
      <c r="C115" s="65">
        <v>87</v>
      </c>
      <c r="D115" s="64">
        <v>7105.29</v>
      </c>
      <c r="E115" s="66"/>
      <c r="F115" s="66"/>
      <c r="G115" s="66"/>
      <c r="H115" s="66"/>
      <c r="I115" s="1">
        <f t="shared" si="2"/>
        <v>87</v>
      </c>
    </row>
    <row r="116" spans="1:9" x14ac:dyDescent="0.25">
      <c r="A116" s="64">
        <v>83918758</v>
      </c>
      <c r="B116" s="64" t="s">
        <v>356</v>
      </c>
      <c r="C116" s="65">
        <v>6</v>
      </c>
      <c r="D116" s="64">
        <v>475.02</v>
      </c>
      <c r="E116" s="66"/>
      <c r="F116" s="70" t="s">
        <v>388</v>
      </c>
      <c r="G116" s="66"/>
      <c r="H116" s="66"/>
      <c r="I116" s="1">
        <f t="shared" si="2"/>
        <v>6</v>
      </c>
    </row>
    <row r="117" spans="1:9" x14ac:dyDescent="0.25">
      <c r="A117" s="64">
        <v>83918759</v>
      </c>
      <c r="B117" s="64" t="s">
        <v>357</v>
      </c>
      <c r="C117" s="65">
        <v>132</v>
      </c>
      <c r="D117" s="64">
        <v>10450.439999999999</v>
      </c>
      <c r="E117" s="67" t="s">
        <v>327</v>
      </c>
      <c r="F117" s="66"/>
      <c r="G117" s="66">
        <v>1</v>
      </c>
      <c r="H117" s="66">
        <v>3</v>
      </c>
      <c r="I117" s="1">
        <f t="shared" si="2"/>
        <v>129</v>
      </c>
    </row>
    <row r="118" spans="1:9" x14ac:dyDescent="0.25">
      <c r="A118" s="64">
        <v>80895517</v>
      </c>
      <c r="B118" s="64" t="s">
        <v>358</v>
      </c>
      <c r="C118" s="65">
        <v>36</v>
      </c>
      <c r="D118" s="64">
        <v>3510</v>
      </c>
      <c r="E118" s="66"/>
      <c r="F118" s="66"/>
      <c r="G118" s="66"/>
      <c r="H118" s="66"/>
      <c r="I118" s="1">
        <f t="shared" si="2"/>
        <v>36</v>
      </c>
    </row>
    <row r="119" spans="1:9" x14ac:dyDescent="0.25">
      <c r="A119" s="64">
        <v>83918765</v>
      </c>
      <c r="B119" s="64" t="s">
        <v>359</v>
      </c>
      <c r="C119" s="65">
        <v>274</v>
      </c>
      <c r="D119" s="64">
        <v>139055</v>
      </c>
      <c r="E119" s="66"/>
      <c r="F119" s="66"/>
      <c r="G119" s="66"/>
      <c r="H119" s="66"/>
      <c r="I119" s="1">
        <f t="shared" si="2"/>
        <v>274</v>
      </c>
    </row>
    <row r="120" spans="1:9" x14ac:dyDescent="0.25">
      <c r="A120" s="64">
        <v>83912166</v>
      </c>
      <c r="B120" s="64" t="s">
        <v>360</v>
      </c>
      <c r="C120" s="65">
        <v>60</v>
      </c>
      <c r="D120" s="64">
        <v>4900.2</v>
      </c>
      <c r="E120" s="66"/>
      <c r="F120" s="66"/>
      <c r="G120" s="66"/>
      <c r="H120" s="66"/>
      <c r="I120" s="1">
        <f t="shared" si="2"/>
        <v>60</v>
      </c>
    </row>
    <row r="121" spans="1:9" x14ac:dyDescent="0.25">
      <c r="A121" s="64">
        <v>83933413</v>
      </c>
      <c r="B121" s="64" t="s">
        <v>361</v>
      </c>
      <c r="C121" s="65">
        <v>40</v>
      </c>
      <c r="D121" s="64">
        <v>13878.4</v>
      </c>
      <c r="E121" s="66"/>
      <c r="F121" s="66"/>
      <c r="G121" s="66"/>
      <c r="H121" s="66"/>
      <c r="I121" s="1">
        <f t="shared" si="2"/>
        <v>40</v>
      </c>
    </row>
    <row r="122" spans="1:9" x14ac:dyDescent="0.25">
      <c r="A122" s="64">
        <v>80879273</v>
      </c>
      <c r="B122" s="64" t="s">
        <v>362</v>
      </c>
      <c r="C122" s="65">
        <v>9</v>
      </c>
      <c r="D122" s="64">
        <v>675</v>
      </c>
      <c r="E122" s="66"/>
      <c r="F122" s="66"/>
      <c r="G122" s="66"/>
      <c r="H122" s="66"/>
      <c r="I122" s="1">
        <f t="shared" si="2"/>
        <v>9</v>
      </c>
    </row>
    <row r="123" spans="1:9" x14ac:dyDescent="0.25">
      <c r="A123" s="64">
        <v>80876990</v>
      </c>
      <c r="B123" s="64" t="s">
        <v>389</v>
      </c>
      <c r="C123" s="65">
        <v>2</v>
      </c>
      <c r="D123" s="64">
        <v>625</v>
      </c>
      <c r="E123" s="66"/>
      <c r="F123" s="66"/>
      <c r="G123" s="66"/>
      <c r="H123" s="66"/>
      <c r="I123" s="1">
        <f t="shared" si="2"/>
        <v>2</v>
      </c>
    </row>
    <row r="124" spans="1:9" x14ac:dyDescent="0.25">
      <c r="A124" s="64">
        <v>80879269</v>
      </c>
      <c r="B124" s="64" t="s">
        <v>363</v>
      </c>
      <c r="C124" s="65">
        <v>3</v>
      </c>
      <c r="D124" s="64">
        <v>204.54000000000002</v>
      </c>
      <c r="E124" s="66"/>
      <c r="F124" s="66"/>
      <c r="G124" s="66"/>
      <c r="H124" s="66"/>
      <c r="I124" s="1">
        <f t="shared" si="2"/>
        <v>3</v>
      </c>
    </row>
    <row r="125" spans="1:9" x14ac:dyDescent="0.25">
      <c r="A125" s="64">
        <v>83916219</v>
      </c>
      <c r="B125" s="64" t="s">
        <v>390</v>
      </c>
      <c r="C125" s="65">
        <v>2</v>
      </c>
      <c r="D125" s="64">
        <v>181.9</v>
      </c>
      <c r="E125" s="66"/>
      <c r="F125" s="66"/>
      <c r="G125" s="66"/>
      <c r="H125" s="66"/>
      <c r="I125" s="1">
        <f t="shared" si="2"/>
        <v>2</v>
      </c>
    </row>
    <row r="126" spans="1:9" x14ac:dyDescent="0.25">
      <c r="A126" s="64">
        <v>80870358</v>
      </c>
      <c r="B126" s="64" t="s">
        <v>368</v>
      </c>
      <c r="C126" s="65">
        <v>10</v>
      </c>
      <c r="D126" s="64">
        <v>2525.3000000000002</v>
      </c>
      <c r="E126" s="66"/>
      <c r="F126" s="66"/>
      <c r="G126" s="66"/>
      <c r="H126" s="66"/>
      <c r="I126" s="1">
        <f t="shared" si="2"/>
        <v>10</v>
      </c>
    </row>
    <row r="127" spans="1:9" x14ac:dyDescent="0.25">
      <c r="A127" s="64">
        <v>80869896</v>
      </c>
      <c r="B127" s="64" t="s">
        <v>369</v>
      </c>
      <c r="C127" s="65">
        <v>60</v>
      </c>
      <c r="D127" s="64">
        <v>2972.9999999999995</v>
      </c>
      <c r="E127" s="66"/>
      <c r="F127" s="66"/>
      <c r="G127" s="66"/>
      <c r="H127" s="66"/>
      <c r="I127" s="1">
        <f t="shared" si="2"/>
        <v>60</v>
      </c>
    </row>
    <row r="128" spans="1:9" x14ac:dyDescent="0.25">
      <c r="A128" s="64">
        <v>83911635</v>
      </c>
      <c r="B128" s="64" t="s">
        <v>371</v>
      </c>
      <c r="C128" s="65">
        <v>460</v>
      </c>
      <c r="D128" s="64">
        <v>20718.399999999998</v>
      </c>
      <c r="E128" s="66"/>
      <c r="F128" s="66"/>
      <c r="G128" s="66">
        <v>2</v>
      </c>
      <c r="H128" s="66">
        <v>8</v>
      </c>
      <c r="I128" s="1">
        <f t="shared" si="2"/>
        <v>452</v>
      </c>
    </row>
    <row r="129" spans="1:9" x14ac:dyDescent="0.25">
      <c r="A129" s="64">
        <v>83911777</v>
      </c>
      <c r="B129" s="64" t="s">
        <v>372</v>
      </c>
      <c r="C129" s="65">
        <v>44</v>
      </c>
      <c r="D129" s="64">
        <v>1585.3200000000002</v>
      </c>
      <c r="E129" s="66"/>
      <c r="F129" s="66"/>
      <c r="G129" s="66"/>
      <c r="H129" s="66"/>
      <c r="I129" s="1">
        <f t="shared" si="2"/>
        <v>44</v>
      </c>
    </row>
    <row r="130" spans="1:9" x14ac:dyDescent="0.25">
      <c r="A130" s="64">
        <v>83911783</v>
      </c>
      <c r="B130" s="64" t="s">
        <v>373</v>
      </c>
      <c r="C130" s="65">
        <v>8</v>
      </c>
      <c r="D130" s="64">
        <v>324.32</v>
      </c>
      <c r="E130" s="66"/>
      <c r="F130" s="66"/>
      <c r="G130" s="66"/>
      <c r="H130" s="66"/>
      <c r="I130" s="1">
        <f t="shared" ref="I130:I193" si="4">C130-H130</f>
        <v>8</v>
      </c>
    </row>
    <row r="131" spans="1:9" x14ac:dyDescent="0.25">
      <c r="A131" s="64">
        <v>80869511</v>
      </c>
      <c r="B131" s="64" t="s">
        <v>374</v>
      </c>
      <c r="C131" s="65">
        <v>1</v>
      </c>
      <c r="D131" s="64">
        <v>198.19</v>
      </c>
      <c r="E131" s="66"/>
      <c r="F131" s="66"/>
      <c r="G131" s="66"/>
      <c r="H131" s="66"/>
      <c r="I131" s="1">
        <f t="shared" si="4"/>
        <v>1</v>
      </c>
    </row>
    <row r="132" spans="1:9" x14ac:dyDescent="0.25">
      <c r="A132" s="64">
        <v>80870357</v>
      </c>
      <c r="B132" s="64" t="s">
        <v>376</v>
      </c>
      <c r="C132" s="65">
        <v>14</v>
      </c>
      <c r="D132" s="64">
        <v>3252.48</v>
      </c>
      <c r="E132" s="66"/>
      <c r="F132" s="66"/>
      <c r="G132" s="66"/>
      <c r="H132" s="66"/>
      <c r="I132" s="1">
        <f t="shared" si="4"/>
        <v>14</v>
      </c>
    </row>
    <row r="133" spans="1:9" x14ac:dyDescent="0.25">
      <c r="A133" s="64">
        <v>83916746</v>
      </c>
      <c r="B133" s="64" t="s">
        <v>377</v>
      </c>
      <c r="C133" s="65">
        <v>9</v>
      </c>
      <c r="D133" s="64">
        <v>907.92</v>
      </c>
      <c r="E133" s="66"/>
      <c r="F133" s="66"/>
      <c r="G133" s="66"/>
      <c r="H133" s="66"/>
      <c r="I133" s="1">
        <f t="shared" si="4"/>
        <v>9</v>
      </c>
    </row>
    <row r="134" spans="1:9" x14ac:dyDescent="0.25">
      <c r="A134" s="64">
        <v>80893410</v>
      </c>
      <c r="B134" s="64" t="s">
        <v>380</v>
      </c>
      <c r="C134" s="65">
        <v>15</v>
      </c>
      <c r="D134" s="64">
        <v>1337.85</v>
      </c>
      <c r="E134" s="66"/>
      <c r="F134" s="66"/>
      <c r="G134" s="66"/>
      <c r="H134" s="66"/>
      <c r="I134" s="1">
        <f t="shared" si="4"/>
        <v>15</v>
      </c>
    </row>
    <row r="135" spans="1:9" x14ac:dyDescent="0.25">
      <c r="A135" s="64">
        <v>80780342</v>
      </c>
      <c r="B135" s="64" t="s">
        <v>391</v>
      </c>
      <c r="C135" s="65">
        <v>1</v>
      </c>
      <c r="D135" s="64">
        <v>249.16</v>
      </c>
      <c r="E135" s="66"/>
      <c r="F135" s="66"/>
      <c r="G135" s="66"/>
      <c r="H135" s="66"/>
      <c r="I135" s="1">
        <f t="shared" si="4"/>
        <v>1</v>
      </c>
    </row>
    <row r="136" spans="1:9" x14ac:dyDescent="0.25">
      <c r="A136" s="64">
        <v>80865298</v>
      </c>
      <c r="B136" s="64" t="s">
        <v>304</v>
      </c>
      <c r="C136" s="65">
        <v>1</v>
      </c>
      <c r="D136" s="64">
        <v>258.04000000000002</v>
      </c>
      <c r="E136" s="66"/>
      <c r="F136" s="66"/>
      <c r="G136" s="66"/>
      <c r="H136" s="66"/>
      <c r="I136" s="1">
        <f t="shared" si="4"/>
        <v>1</v>
      </c>
    </row>
    <row r="137" spans="1:9" x14ac:dyDescent="0.25">
      <c r="A137" s="64">
        <v>83904003</v>
      </c>
      <c r="B137" s="64" t="s">
        <v>305</v>
      </c>
      <c r="C137" s="65">
        <v>20</v>
      </c>
      <c r="D137" s="64">
        <v>2204</v>
      </c>
      <c r="E137" s="66"/>
      <c r="F137" s="66"/>
      <c r="G137" s="66"/>
      <c r="H137" s="66"/>
      <c r="I137" s="1">
        <f t="shared" si="4"/>
        <v>20</v>
      </c>
    </row>
    <row r="138" spans="1:9" x14ac:dyDescent="0.25">
      <c r="A138" s="64">
        <v>80866726</v>
      </c>
      <c r="B138" s="64" t="s">
        <v>307</v>
      </c>
      <c r="C138" s="65">
        <v>3</v>
      </c>
      <c r="D138" s="64">
        <v>254.49</v>
      </c>
      <c r="E138" s="66"/>
      <c r="F138" s="66"/>
      <c r="G138" s="66"/>
      <c r="H138" s="66"/>
      <c r="I138" s="1">
        <f t="shared" si="4"/>
        <v>3</v>
      </c>
    </row>
    <row r="139" spans="1:9" x14ac:dyDescent="0.25">
      <c r="A139" s="64">
        <v>80896468</v>
      </c>
      <c r="B139" s="64" t="s">
        <v>311</v>
      </c>
      <c r="C139" s="65">
        <v>9</v>
      </c>
      <c r="D139" s="64">
        <v>446.40000000000003</v>
      </c>
      <c r="E139" s="66"/>
      <c r="F139" s="66"/>
      <c r="G139" s="66"/>
      <c r="H139" s="66"/>
      <c r="I139" s="1">
        <f t="shared" si="4"/>
        <v>9</v>
      </c>
    </row>
    <row r="140" spans="1:9" x14ac:dyDescent="0.25">
      <c r="A140" s="64">
        <v>80803710</v>
      </c>
      <c r="B140" s="64" t="s">
        <v>313</v>
      </c>
      <c r="C140" s="65">
        <v>1</v>
      </c>
      <c r="D140" s="64">
        <v>311.60000000000002</v>
      </c>
      <c r="E140" s="66"/>
      <c r="F140" s="66"/>
      <c r="G140" s="66"/>
      <c r="H140" s="66"/>
      <c r="I140" s="1">
        <f t="shared" si="4"/>
        <v>1</v>
      </c>
    </row>
    <row r="141" spans="1:9" x14ac:dyDescent="0.25">
      <c r="A141" s="64">
        <v>80866728</v>
      </c>
      <c r="B141" s="64" t="s">
        <v>381</v>
      </c>
      <c r="C141" s="65">
        <v>1</v>
      </c>
      <c r="D141" s="64">
        <v>241.07</v>
      </c>
      <c r="E141" s="66"/>
      <c r="F141" s="66"/>
      <c r="G141" s="66"/>
      <c r="H141" s="66"/>
      <c r="I141" s="1">
        <f t="shared" si="4"/>
        <v>1</v>
      </c>
    </row>
    <row r="142" spans="1:9" x14ac:dyDescent="0.25">
      <c r="A142" s="64">
        <v>80866725</v>
      </c>
      <c r="B142" s="64" t="s">
        <v>382</v>
      </c>
      <c r="C142" s="65">
        <v>3</v>
      </c>
      <c r="D142" s="64">
        <v>723.21</v>
      </c>
      <c r="E142" s="66"/>
      <c r="F142" s="66"/>
      <c r="G142" s="66"/>
      <c r="H142" s="66"/>
      <c r="I142" s="1">
        <f t="shared" si="4"/>
        <v>3</v>
      </c>
    </row>
    <row r="143" spans="1:9" x14ac:dyDescent="0.25">
      <c r="A143" s="64">
        <v>80866723</v>
      </c>
      <c r="B143" s="64" t="s">
        <v>317</v>
      </c>
      <c r="C143" s="65">
        <v>12</v>
      </c>
      <c r="D143" s="64">
        <v>3107.04</v>
      </c>
      <c r="E143" s="66"/>
      <c r="F143" s="66"/>
      <c r="G143" s="66"/>
      <c r="H143" s="66"/>
      <c r="I143" s="1">
        <f t="shared" si="4"/>
        <v>12</v>
      </c>
    </row>
    <row r="144" spans="1:9" x14ac:dyDescent="0.25">
      <c r="A144" s="64">
        <v>80866729</v>
      </c>
      <c r="B144" s="64" t="s">
        <v>318</v>
      </c>
      <c r="C144" s="65">
        <v>20</v>
      </c>
      <c r="D144" s="64">
        <v>5178.4000000000005</v>
      </c>
      <c r="E144" s="66"/>
      <c r="F144" s="66"/>
      <c r="G144" s="66"/>
      <c r="H144" s="66"/>
      <c r="I144" s="1">
        <f t="shared" si="4"/>
        <v>20</v>
      </c>
    </row>
    <row r="145" spans="1:9" x14ac:dyDescent="0.25">
      <c r="A145" s="64">
        <v>80864300</v>
      </c>
      <c r="B145" s="64" t="s">
        <v>321</v>
      </c>
      <c r="C145" s="65">
        <v>10</v>
      </c>
      <c r="D145" s="64">
        <v>865.5</v>
      </c>
      <c r="E145" s="66"/>
      <c r="F145" s="66"/>
      <c r="G145" s="66"/>
      <c r="H145" s="66"/>
      <c r="I145" s="1">
        <f t="shared" si="4"/>
        <v>10</v>
      </c>
    </row>
    <row r="146" spans="1:9" x14ac:dyDescent="0.25">
      <c r="A146" s="64">
        <v>80875513</v>
      </c>
      <c r="B146" s="64" t="s">
        <v>322</v>
      </c>
      <c r="C146" s="65">
        <v>1</v>
      </c>
      <c r="D146" s="64">
        <v>153.5</v>
      </c>
      <c r="E146" s="66"/>
      <c r="F146" s="66"/>
      <c r="G146" s="66"/>
      <c r="H146" s="66"/>
      <c r="I146" s="1">
        <f t="shared" si="4"/>
        <v>1</v>
      </c>
    </row>
    <row r="147" spans="1:9" x14ac:dyDescent="0.25">
      <c r="A147" s="64">
        <v>80840354</v>
      </c>
      <c r="B147" s="64" t="s">
        <v>323</v>
      </c>
      <c r="C147" s="65">
        <v>9</v>
      </c>
      <c r="D147" s="64">
        <v>2960.5499999999997</v>
      </c>
      <c r="E147" s="66"/>
      <c r="F147" s="66"/>
      <c r="G147" s="66"/>
      <c r="H147" s="66"/>
      <c r="I147" s="1">
        <f t="shared" si="4"/>
        <v>9</v>
      </c>
    </row>
    <row r="148" spans="1:9" x14ac:dyDescent="0.25">
      <c r="A148" s="64">
        <v>80864297</v>
      </c>
      <c r="B148" s="64" t="s">
        <v>326</v>
      </c>
      <c r="C148" s="65">
        <v>41</v>
      </c>
      <c r="D148" s="64">
        <v>6293.5</v>
      </c>
      <c r="E148" s="67" t="s">
        <v>330</v>
      </c>
      <c r="F148" s="66"/>
      <c r="G148" s="66">
        <v>1</v>
      </c>
      <c r="H148" s="66">
        <v>1</v>
      </c>
      <c r="I148" s="1">
        <f t="shared" si="4"/>
        <v>40</v>
      </c>
    </row>
    <row r="149" spans="1:9" x14ac:dyDescent="0.25">
      <c r="A149" s="64">
        <v>80832389</v>
      </c>
      <c r="B149" s="64" t="s">
        <v>328</v>
      </c>
      <c r="C149" s="65">
        <v>1</v>
      </c>
      <c r="D149" s="64">
        <v>328.95</v>
      </c>
      <c r="E149" s="66"/>
      <c r="F149" s="66"/>
      <c r="G149" s="66"/>
      <c r="H149" s="66"/>
      <c r="I149" s="1">
        <f t="shared" si="4"/>
        <v>1</v>
      </c>
    </row>
    <row r="150" spans="1:9" x14ac:dyDescent="0.25">
      <c r="A150" s="64">
        <v>80832398</v>
      </c>
      <c r="B150" s="64" t="s">
        <v>329</v>
      </c>
      <c r="C150" s="65">
        <v>4</v>
      </c>
      <c r="D150" s="64">
        <v>1140.3599999999999</v>
      </c>
      <c r="E150" s="66"/>
      <c r="F150" s="69" t="s">
        <v>392</v>
      </c>
      <c r="G150" s="66"/>
      <c r="H150" s="66"/>
      <c r="I150" s="1">
        <f t="shared" si="4"/>
        <v>4</v>
      </c>
    </row>
    <row r="151" spans="1:9" x14ac:dyDescent="0.25">
      <c r="A151" s="64">
        <v>83911270</v>
      </c>
      <c r="B151" s="64" t="s">
        <v>332</v>
      </c>
      <c r="C151" s="65">
        <v>18</v>
      </c>
      <c r="D151" s="64">
        <v>1292.58</v>
      </c>
      <c r="E151" s="66"/>
      <c r="F151" s="66"/>
      <c r="G151" s="66"/>
      <c r="H151" s="66"/>
      <c r="I151" s="1">
        <f t="shared" si="4"/>
        <v>18</v>
      </c>
    </row>
    <row r="152" spans="1:9" x14ac:dyDescent="0.25">
      <c r="A152" s="64">
        <v>80892904</v>
      </c>
      <c r="B152" s="64" t="s">
        <v>333</v>
      </c>
      <c r="C152" s="65">
        <v>69</v>
      </c>
      <c r="D152" s="64">
        <v>4954.8900000000003</v>
      </c>
      <c r="E152" s="66"/>
      <c r="F152" s="66"/>
      <c r="G152" s="66"/>
      <c r="H152" s="66"/>
      <c r="I152" s="1">
        <f t="shared" si="4"/>
        <v>69</v>
      </c>
    </row>
    <row r="153" spans="1:9" x14ac:dyDescent="0.25">
      <c r="A153" s="64">
        <v>83911280</v>
      </c>
      <c r="B153" s="64" t="s">
        <v>334</v>
      </c>
      <c r="C153" s="65">
        <v>21</v>
      </c>
      <c r="D153" s="64">
        <v>1508.01</v>
      </c>
      <c r="E153" s="67" t="s">
        <v>327</v>
      </c>
      <c r="F153" s="66"/>
      <c r="G153" s="66">
        <v>1</v>
      </c>
      <c r="H153" s="66">
        <v>3</v>
      </c>
      <c r="I153" s="1">
        <f t="shared" si="4"/>
        <v>18</v>
      </c>
    </row>
    <row r="154" spans="1:9" x14ac:dyDescent="0.25">
      <c r="A154" s="64">
        <v>80880909</v>
      </c>
      <c r="B154" s="64" t="s">
        <v>335</v>
      </c>
      <c r="C154" s="65">
        <v>3</v>
      </c>
      <c r="D154" s="64">
        <v>231.81</v>
      </c>
      <c r="E154" s="66"/>
      <c r="F154" s="66"/>
      <c r="G154" s="66"/>
      <c r="H154" s="66"/>
      <c r="I154" s="1">
        <f t="shared" si="4"/>
        <v>3</v>
      </c>
    </row>
    <row r="155" spans="1:9" x14ac:dyDescent="0.25">
      <c r="A155" s="64">
        <v>83911276</v>
      </c>
      <c r="B155" s="64" t="s">
        <v>336</v>
      </c>
      <c r="C155" s="65">
        <v>3</v>
      </c>
      <c r="D155" s="64">
        <v>215.43</v>
      </c>
      <c r="E155" s="66"/>
      <c r="F155" s="66"/>
      <c r="G155" s="66"/>
      <c r="H155" s="66"/>
      <c r="I155" s="1">
        <f t="shared" si="4"/>
        <v>3</v>
      </c>
    </row>
    <row r="156" spans="1:9" x14ac:dyDescent="0.25">
      <c r="A156" s="64">
        <v>83911281</v>
      </c>
      <c r="B156" s="64" t="s">
        <v>337</v>
      </c>
      <c r="C156" s="65">
        <v>9</v>
      </c>
      <c r="D156" s="64">
        <v>646.29</v>
      </c>
      <c r="E156" s="66"/>
      <c r="F156" s="66"/>
      <c r="G156" s="66">
        <v>1</v>
      </c>
      <c r="H156" s="66">
        <v>3</v>
      </c>
      <c r="I156" s="1">
        <f t="shared" si="4"/>
        <v>6</v>
      </c>
    </row>
    <row r="157" spans="1:9" x14ac:dyDescent="0.25">
      <c r="A157" s="64">
        <v>80878182</v>
      </c>
      <c r="B157" s="64" t="s">
        <v>338</v>
      </c>
      <c r="C157" s="65">
        <v>2</v>
      </c>
      <c r="D157" s="64">
        <v>189.56</v>
      </c>
      <c r="E157" s="66"/>
      <c r="F157" s="66"/>
      <c r="G157" s="66"/>
      <c r="H157" s="66"/>
      <c r="I157" s="1">
        <f t="shared" si="4"/>
        <v>2</v>
      </c>
    </row>
    <row r="158" spans="1:9" x14ac:dyDescent="0.25">
      <c r="A158" s="64">
        <v>80895465</v>
      </c>
      <c r="B158" s="64" t="s">
        <v>343</v>
      </c>
      <c r="C158" s="65">
        <v>1</v>
      </c>
      <c r="D158" s="64">
        <v>325.22000000000003</v>
      </c>
      <c r="E158" s="66"/>
      <c r="F158" s="66"/>
      <c r="G158" s="66"/>
      <c r="H158" s="66"/>
      <c r="I158" s="1">
        <f t="shared" si="4"/>
        <v>1</v>
      </c>
    </row>
    <row r="159" spans="1:9" x14ac:dyDescent="0.25">
      <c r="A159" s="64">
        <v>83921920</v>
      </c>
      <c r="B159" s="64" t="s">
        <v>344</v>
      </c>
      <c r="C159" s="65">
        <v>2</v>
      </c>
      <c r="D159" s="64">
        <v>583.34</v>
      </c>
      <c r="E159" s="66"/>
      <c r="F159" s="66"/>
      <c r="G159" s="66"/>
      <c r="H159" s="66"/>
      <c r="I159" s="1">
        <f t="shared" si="4"/>
        <v>2</v>
      </c>
    </row>
    <row r="160" spans="1:9" x14ac:dyDescent="0.25">
      <c r="A160" s="64">
        <v>80887983</v>
      </c>
      <c r="B160" s="64" t="s">
        <v>345</v>
      </c>
      <c r="C160" s="65">
        <v>3</v>
      </c>
      <c r="D160" s="64">
        <v>1400.01</v>
      </c>
      <c r="E160" s="67" t="s">
        <v>330</v>
      </c>
      <c r="F160" s="66"/>
      <c r="G160" s="66">
        <v>1</v>
      </c>
      <c r="H160" s="66">
        <v>1</v>
      </c>
      <c r="I160" s="1">
        <f t="shared" si="4"/>
        <v>2</v>
      </c>
    </row>
    <row r="161" spans="1:9" x14ac:dyDescent="0.25">
      <c r="A161" s="64">
        <v>83921921</v>
      </c>
      <c r="B161" s="64" t="s">
        <v>346</v>
      </c>
      <c r="C161" s="65">
        <v>5</v>
      </c>
      <c r="D161" s="64">
        <v>1458.3500000000001</v>
      </c>
      <c r="E161" s="66"/>
      <c r="F161" s="66"/>
      <c r="G161" s="66"/>
      <c r="H161" s="66"/>
      <c r="I161" s="1">
        <f t="shared" si="4"/>
        <v>5</v>
      </c>
    </row>
    <row r="162" spans="1:9" x14ac:dyDescent="0.25">
      <c r="A162" s="64">
        <v>83921924</v>
      </c>
      <c r="B162" s="64" t="s">
        <v>348</v>
      </c>
      <c r="C162" s="65">
        <v>15</v>
      </c>
      <c r="D162" s="64">
        <v>4375.05</v>
      </c>
      <c r="E162" s="66"/>
      <c r="F162" s="66"/>
      <c r="G162" s="66"/>
      <c r="H162" s="66"/>
      <c r="I162" s="1">
        <f t="shared" si="4"/>
        <v>15</v>
      </c>
    </row>
    <row r="163" spans="1:9" x14ac:dyDescent="0.25">
      <c r="A163" s="64">
        <v>83921923</v>
      </c>
      <c r="B163" s="64" t="s">
        <v>349</v>
      </c>
      <c r="C163" s="65">
        <v>2</v>
      </c>
      <c r="D163" s="64">
        <v>583.34</v>
      </c>
      <c r="E163" s="66"/>
      <c r="F163" s="66"/>
      <c r="G163" s="66"/>
      <c r="H163" s="66"/>
      <c r="I163" s="1">
        <f t="shared" si="4"/>
        <v>2</v>
      </c>
    </row>
    <row r="164" spans="1:9" x14ac:dyDescent="0.25">
      <c r="A164" s="64">
        <v>83912172</v>
      </c>
      <c r="B164" s="64" t="s">
        <v>353</v>
      </c>
      <c r="C164" s="65">
        <v>24</v>
      </c>
      <c r="D164" s="64">
        <v>1860</v>
      </c>
      <c r="E164" s="66"/>
      <c r="F164" s="66"/>
      <c r="G164" s="66"/>
      <c r="H164" s="66"/>
      <c r="I164" s="1">
        <f t="shared" si="4"/>
        <v>24</v>
      </c>
    </row>
    <row r="165" spans="1:9" x14ac:dyDescent="0.25">
      <c r="A165" s="64">
        <v>83912164</v>
      </c>
      <c r="B165" s="64" t="s">
        <v>355</v>
      </c>
      <c r="C165" s="65">
        <v>36</v>
      </c>
      <c r="D165" s="64">
        <v>2940.12</v>
      </c>
      <c r="E165" s="66"/>
      <c r="F165" s="66"/>
      <c r="G165" s="66"/>
      <c r="H165" s="66"/>
      <c r="I165" s="1">
        <f t="shared" si="4"/>
        <v>36</v>
      </c>
    </row>
    <row r="166" spans="1:9" x14ac:dyDescent="0.25">
      <c r="A166" s="64">
        <v>83918758</v>
      </c>
      <c r="B166" s="64" t="s">
        <v>356</v>
      </c>
      <c r="C166" s="65">
        <v>18</v>
      </c>
      <c r="D166" s="64">
        <v>1425.06</v>
      </c>
      <c r="E166" s="66"/>
      <c r="F166" s="66"/>
      <c r="G166" s="66"/>
      <c r="H166" s="66"/>
      <c r="I166" s="1">
        <f t="shared" si="4"/>
        <v>18</v>
      </c>
    </row>
    <row r="167" spans="1:9" x14ac:dyDescent="0.25">
      <c r="A167" s="64">
        <v>83918759</v>
      </c>
      <c r="B167" s="64" t="s">
        <v>357</v>
      </c>
      <c r="C167" s="65">
        <v>57</v>
      </c>
      <c r="D167" s="64">
        <v>4512.6899999999996</v>
      </c>
      <c r="E167" s="67" t="s">
        <v>327</v>
      </c>
      <c r="F167" s="66"/>
      <c r="G167" s="66">
        <v>1</v>
      </c>
      <c r="H167" s="66">
        <v>3</v>
      </c>
      <c r="I167" s="1">
        <f t="shared" si="4"/>
        <v>54</v>
      </c>
    </row>
    <row r="168" spans="1:9" x14ac:dyDescent="0.25">
      <c r="A168" s="64">
        <v>80895517</v>
      </c>
      <c r="B168" s="64" t="s">
        <v>358</v>
      </c>
      <c r="C168" s="65">
        <v>12</v>
      </c>
      <c r="D168" s="64">
        <v>1170</v>
      </c>
      <c r="E168" s="66"/>
      <c r="F168" s="66"/>
      <c r="G168" s="66"/>
      <c r="H168" s="66"/>
      <c r="I168" s="1">
        <f t="shared" si="4"/>
        <v>12</v>
      </c>
    </row>
    <row r="169" spans="1:9" x14ac:dyDescent="0.25">
      <c r="A169" s="64">
        <v>83918765</v>
      </c>
      <c r="B169" s="64" t="s">
        <v>359</v>
      </c>
      <c r="C169" s="65">
        <v>97</v>
      </c>
      <c r="D169" s="64">
        <v>49227.5</v>
      </c>
      <c r="E169" s="66" t="s">
        <v>330</v>
      </c>
      <c r="F169" s="66"/>
      <c r="G169" s="66">
        <v>2</v>
      </c>
      <c r="H169" s="66">
        <v>2</v>
      </c>
      <c r="I169" s="1">
        <f t="shared" si="4"/>
        <v>95</v>
      </c>
    </row>
    <row r="170" spans="1:9" x14ac:dyDescent="0.25">
      <c r="A170" s="64">
        <v>83912166</v>
      </c>
      <c r="B170" s="64" t="s">
        <v>360</v>
      </c>
      <c r="C170" s="65">
        <v>15</v>
      </c>
      <c r="D170" s="64">
        <v>1225.05</v>
      </c>
      <c r="E170" s="66"/>
      <c r="F170" s="66"/>
      <c r="G170" s="66"/>
      <c r="H170" s="66"/>
      <c r="I170" s="1">
        <f t="shared" si="4"/>
        <v>15</v>
      </c>
    </row>
    <row r="171" spans="1:9" x14ac:dyDescent="0.25">
      <c r="A171" s="64">
        <v>83933413</v>
      </c>
      <c r="B171" s="64" t="s">
        <v>361</v>
      </c>
      <c r="C171" s="65">
        <v>9</v>
      </c>
      <c r="D171" s="64">
        <v>3122.64</v>
      </c>
      <c r="E171" s="66"/>
      <c r="F171" s="66"/>
      <c r="G171" s="66"/>
      <c r="H171" s="66"/>
      <c r="I171" s="1">
        <f t="shared" si="4"/>
        <v>9</v>
      </c>
    </row>
    <row r="172" spans="1:9" x14ac:dyDescent="0.25">
      <c r="A172" s="64">
        <v>80879273</v>
      </c>
      <c r="B172" s="64" t="s">
        <v>362</v>
      </c>
      <c r="C172" s="65">
        <v>9</v>
      </c>
      <c r="D172" s="64">
        <v>675</v>
      </c>
      <c r="E172" s="66"/>
      <c r="F172" s="66"/>
      <c r="G172" s="66"/>
      <c r="H172" s="66"/>
      <c r="I172" s="1">
        <f t="shared" si="4"/>
        <v>9</v>
      </c>
    </row>
    <row r="173" spans="1:9" x14ac:dyDescent="0.25">
      <c r="A173" s="64">
        <v>80879269</v>
      </c>
      <c r="B173" s="64" t="s">
        <v>363</v>
      </c>
      <c r="C173" s="65">
        <v>3</v>
      </c>
      <c r="D173" s="64">
        <v>204.54000000000002</v>
      </c>
      <c r="E173" s="66"/>
      <c r="F173" s="66"/>
      <c r="G173" s="66"/>
      <c r="H173" s="66"/>
      <c r="I173" s="1">
        <f t="shared" si="4"/>
        <v>3</v>
      </c>
    </row>
    <row r="174" spans="1:9" x14ac:dyDescent="0.25">
      <c r="A174" s="64">
        <v>80830097</v>
      </c>
      <c r="B174" s="64" t="s">
        <v>238</v>
      </c>
      <c r="C174" s="65">
        <v>1</v>
      </c>
      <c r="D174" s="64">
        <v>252.17</v>
      </c>
      <c r="E174" s="66"/>
      <c r="F174" s="66"/>
      <c r="G174" s="66"/>
      <c r="H174" s="66"/>
      <c r="I174" s="1">
        <f t="shared" si="4"/>
        <v>1</v>
      </c>
    </row>
    <row r="175" spans="1:9" x14ac:dyDescent="0.25">
      <c r="A175" s="64">
        <v>80862572</v>
      </c>
      <c r="B175" s="64" t="s">
        <v>365</v>
      </c>
      <c r="C175" s="65">
        <v>2</v>
      </c>
      <c r="D175" s="64">
        <v>195.26</v>
      </c>
      <c r="E175" s="66"/>
      <c r="F175" s="66"/>
      <c r="G175" s="66"/>
      <c r="H175" s="66"/>
      <c r="I175" s="1">
        <f t="shared" si="4"/>
        <v>2</v>
      </c>
    </row>
    <row r="176" spans="1:9" x14ac:dyDescent="0.25">
      <c r="A176" s="64">
        <v>80870358</v>
      </c>
      <c r="B176" s="64" t="s">
        <v>368</v>
      </c>
      <c r="C176" s="65">
        <v>4</v>
      </c>
      <c r="D176" s="64">
        <v>1010.12</v>
      </c>
      <c r="E176" s="66"/>
      <c r="F176" s="66"/>
      <c r="G176" s="66"/>
      <c r="H176" s="66"/>
      <c r="I176" s="1">
        <f t="shared" si="4"/>
        <v>4</v>
      </c>
    </row>
    <row r="177" spans="1:9" x14ac:dyDescent="0.25">
      <c r="A177" s="64">
        <v>80869896</v>
      </c>
      <c r="B177" s="64" t="s">
        <v>369</v>
      </c>
      <c r="C177" s="65">
        <v>45</v>
      </c>
      <c r="D177" s="64">
        <v>2229.7499999999995</v>
      </c>
      <c r="E177" s="66"/>
      <c r="F177" s="66"/>
      <c r="G177" s="66"/>
      <c r="H177" s="66"/>
      <c r="I177" s="1">
        <f t="shared" si="4"/>
        <v>45</v>
      </c>
    </row>
    <row r="178" spans="1:9" x14ac:dyDescent="0.25">
      <c r="A178" s="64">
        <v>83911635</v>
      </c>
      <c r="B178" s="64" t="s">
        <v>371</v>
      </c>
      <c r="C178" s="65">
        <v>268</v>
      </c>
      <c r="D178" s="64">
        <v>12070.72</v>
      </c>
      <c r="E178" s="67" t="s">
        <v>393</v>
      </c>
      <c r="F178" s="66"/>
      <c r="G178" s="66">
        <v>3</v>
      </c>
      <c r="H178" s="66">
        <v>12</v>
      </c>
      <c r="I178" s="1">
        <f t="shared" si="4"/>
        <v>256</v>
      </c>
    </row>
    <row r="179" spans="1:9" x14ac:dyDescent="0.25">
      <c r="A179" s="64">
        <v>83911777</v>
      </c>
      <c r="B179" s="64" t="s">
        <v>372</v>
      </c>
      <c r="C179" s="65">
        <v>24</v>
      </c>
      <c r="D179" s="64">
        <v>864.72</v>
      </c>
      <c r="E179" s="66"/>
      <c r="F179" s="66"/>
      <c r="G179" s="66"/>
      <c r="H179" s="66"/>
      <c r="I179" s="1">
        <f t="shared" si="4"/>
        <v>24</v>
      </c>
    </row>
    <row r="180" spans="1:9" x14ac:dyDescent="0.25">
      <c r="A180" s="64">
        <v>83911783</v>
      </c>
      <c r="B180" s="64" t="s">
        <v>373</v>
      </c>
      <c r="C180" s="65">
        <v>12</v>
      </c>
      <c r="D180" s="64">
        <v>486.48</v>
      </c>
      <c r="E180" s="66"/>
      <c r="F180" s="66"/>
      <c r="G180" s="66"/>
      <c r="H180" s="66"/>
      <c r="I180" s="1">
        <f t="shared" si="4"/>
        <v>12</v>
      </c>
    </row>
    <row r="181" spans="1:9" x14ac:dyDescent="0.25">
      <c r="A181" s="64">
        <v>80869511</v>
      </c>
      <c r="B181" s="64" t="s">
        <v>374</v>
      </c>
      <c r="C181" s="65">
        <v>2</v>
      </c>
      <c r="D181" s="64">
        <v>396.38</v>
      </c>
      <c r="E181" s="66"/>
      <c r="F181" s="66"/>
      <c r="G181" s="66"/>
      <c r="H181" s="66"/>
      <c r="I181" s="1">
        <f t="shared" si="4"/>
        <v>2</v>
      </c>
    </row>
    <row r="182" spans="1:9" x14ac:dyDescent="0.25">
      <c r="A182" s="64">
        <v>80870357</v>
      </c>
      <c r="B182" s="64" t="s">
        <v>376</v>
      </c>
      <c r="C182" s="65">
        <v>14</v>
      </c>
      <c r="D182" s="64">
        <v>3252.48</v>
      </c>
      <c r="E182" s="66"/>
      <c r="F182" s="66"/>
      <c r="G182" s="66"/>
      <c r="H182" s="66"/>
      <c r="I182" s="1">
        <f t="shared" si="4"/>
        <v>14</v>
      </c>
    </row>
    <row r="183" spans="1:9" x14ac:dyDescent="0.25">
      <c r="A183" s="64">
        <v>83916746</v>
      </c>
      <c r="B183" s="64" t="s">
        <v>377</v>
      </c>
      <c r="C183" s="65">
        <v>6</v>
      </c>
      <c r="D183" s="64">
        <v>605.28</v>
      </c>
      <c r="E183" s="66"/>
      <c r="F183" s="66"/>
      <c r="G183" s="66"/>
      <c r="H183" s="66"/>
      <c r="I183" s="1">
        <f t="shared" si="4"/>
        <v>6</v>
      </c>
    </row>
    <row r="184" spans="1:9" x14ac:dyDescent="0.25">
      <c r="A184" s="64">
        <v>83908992</v>
      </c>
      <c r="B184" s="64" t="s">
        <v>394</v>
      </c>
      <c r="C184" s="65">
        <v>2</v>
      </c>
      <c r="D184" s="64">
        <v>263.16000000000003</v>
      </c>
      <c r="E184" s="66"/>
      <c r="F184" s="66"/>
      <c r="G184" s="66"/>
      <c r="H184" s="66"/>
      <c r="I184" s="1">
        <f t="shared" si="4"/>
        <v>2</v>
      </c>
    </row>
    <row r="185" spans="1:9" x14ac:dyDescent="0.25">
      <c r="A185" s="64">
        <v>80887674</v>
      </c>
      <c r="B185" s="64" t="s">
        <v>378</v>
      </c>
      <c r="C185" s="65">
        <v>2</v>
      </c>
      <c r="D185" s="64">
        <v>263.16000000000003</v>
      </c>
      <c r="E185" s="66"/>
      <c r="F185" s="66"/>
      <c r="G185" s="66"/>
      <c r="H185" s="66"/>
      <c r="I185" s="1">
        <f t="shared" si="4"/>
        <v>2</v>
      </c>
    </row>
    <row r="186" spans="1:9" x14ac:dyDescent="0.25">
      <c r="A186" s="64">
        <v>80893410</v>
      </c>
      <c r="B186" s="64" t="s">
        <v>380</v>
      </c>
      <c r="C186" s="65">
        <v>3</v>
      </c>
      <c r="D186" s="64">
        <v>267.57</v>
      </c>
      <c r="E186" s="66"/>
      <c r="F186" s="66"/>
      <c r="G186" s="66"/>
      <c r="H186" s="66"/>
      <c r="I186" s="1">
        <f t="shared" si="4"/>
        <v>3</v>
      </c>
    </row>
    <row r="187" spans="1:9" x14ac:dyDescent="0.25">
      <c r="A187" s="64">
        <v>83904003</v>
      </c>
      <c r="B187" s="64" t="s">
        <v>305</v>
      </c>
      <c r="C187" s="65">
        <v>6</v>
      </c>
      <c r="D187" s="64">
        <v>661.2</v>
      </c>
      <c r="E187" s="66"/>
      <c r="F187" s="66"/>
      <c r="G187" s="66"/>
      <c r="H187" s="66"/>
      <c r="I187" s="1">
        <f t="shared" si="4"/>
        <v>6</v>
      </c>
    </row>
    <row r="188" spans="1:9" x14ac:dyDescent="0.25">
      <c r="A188" s="64">
        <v>80866727</v>
      </c>
      <c r="B188" s="64" t="s">
        <v>395</v>
      </c>
      <c r="C188" s="65">
        <v>1</v>
      </c>
      <c r="D188" s="64">
        <v>241.07</v>
      </c>
      <c r="E188" s="66"/>
      <c r="F188" s="66"/>
      <c r="G188" s="66"/>
      <c r="H188" s="66"/>
      <c r="I188" s="1">
        <f t="shared" si="4"/>
        <v>1</v>
      </c>
    </row>
    <row r="189" spans="1:9" x14ac:dyDescent="0.25">
      <c r="A189" s="64">
        <v>80866723</v>
      </c>
      <c r="B189" s="64" t="s">
        <v>317</v>
      </c>
      <c r="C189" s="65">
        <v>4</v>
      </c>
      <c r="D189" s="64">
        <v>1035.68</v>
      </c>
      <c r="E189" s="66"/>
      <c r="F189" s="66"/>
      <c r="G189" s="66"/>
      <c r="H189" s="66"/>
      <c r="I189" s="1">
        <f t="shared" si="4"/>
        <v>4</v>
      </c>
    </row>
    <row r="190" spans="1:9" x14ac:dyDescent="0.25">
      <c r="A190" s="64">
        <v>80866729</v>
      </c>
      <c r="B190" s="64" t="s">
        <v>318</v>
      </c>
      <c r="C190" s="65">
        <v>2</v>
      </c>
      <c r="D190" s="64">
        <v>517.84</v>
      </c>
      <c r="E190" s="66"/>
      <c r="F190" s="66"/>
      <c r="G190" s="66"/>
      <c r="H190" s="66"/>
      <c r="I190" s="1">
        <f t="shared" si="4"/>
        <v>2</v>
      </c>
    </row>
    <row r="191" spans="1:9" x14ac:dyDescent="0.25">
      <c r="A191" s="64">
        <v>80875513</v>
      </c>
      <c r="B191" s="64" t="s">
        <v>322</v>
      </c>
      <c r="C191" s="65">
        <v>1</v>
      </c>
      <c r="D191" s="64">
        <v>153.5</v>
      </c>
      <c r="E191" s="66"/>
      <c r="F191" s="66"/>
      <c r="G191" s="66"/>
      <c r="H191" s="66"/>
      <c r="I191" s="1">
        <f t="shared" si="4"/>
        <v>1</v>
      </c>
    </row>
    <row r="192" spans="1:9" x14ac:dyDescent="0.25">
      <c r="A192" s="64">
        <v>80840354</v>
      </c>
      <c r="B192" s="64" t="s">
        <v>323</v>
      </c>
      <c r="C192" s="65">
        <v>1</v>
      </c>
      <c r="D192" s="64">
        <v>328.95</v>
      </c>
      <c r="E192" s="66"/>
      <c r="F192" s="66"/>
      <c r="G192" s="66"/>
      <c r="H192" s="66"/>
      <c r="I192" s="1">
        <f t="shared" si="4"/>
        <v>1</v>
      </c>
    </row>
    <row r="193" spans="1:9" x14ac:dyDescent="0.25">
      <c r="A193" s="64">
        <v>80864297</v>
      </c>
      <c r="B193" s="64" t="s">
        <v>326</v>
      </c>
      <c r="C193" s="65">
        <v>11</v>
      </c>
      <c r="D193" s="64">
        <v>1688.5</v>
      </c>
      <c r="E193" s="66" t="s">
        <v>330</v>
      </c>
      <c r="F193" s="66"/>
      <c r="G193" s="66">
        <v>1</v>
      </c>
      <c r="H193" s="66">
        <v>1</v>
      </c>
      <c r="I193" s="1">
        <f t="shared" si="4"/>
        <v>10</v>
      </c>
    </row>
    <row r="194" spans="1:9" x14ac:dyDescent="0.25">
      <c r="A194" s="64">
        <v>80832398</v>
      </c>
      <c r="B194" s="64" t="s">
        <v>329</v>
      </c>
      <c r="C194" s="65">
        <v>1</v>
      </c>
      <c r="D194" s="64">
        <v>285.08999999999997</v>
      </c>
      <c r="E194" s="66"/>
      <c r="F194" s="66"/>
      <c r="G194" s="66"/>
      <c r="H194" s="66"/>
      <c r="I194" s="1">
        <f t="shared" ref="I194:I257" si="5">C194-H194</f>
        <v>1</v>
      </c>
    </row>
    <row r="195" spans="1:9" x14ac:dyDescent="0.25">
      <c r="A195" s="64">
        <v>83911270</v>
      </c>
      <c r="B195" s="64" t="s">
        <v>332</v>
      </c>
      <c r="C195" s="65">
        <v>3</v>
      </c>
      <c r="D195" s="64">
        <v>215.43</v>
      </c>
      <c r="E195" s="66"/>
      <c r="F195" s="66"/>
      <c r="G195" s="66"/>
      <c r="H195" s="66"/>
      <c r="I195" s="1">
        <f t="shared" si="5"/>
        <v>3</v>
      </c>
    </row>
    <row r="196" spans="1:9" x14ac:dyDescent="0.25">
      <c r="A196" s="64">
        <v>80892904</v>
      </c>
      <c r="B196" s="64" t="s">
        <v>333</v>
      </c>
      <c r="C196" s="65">
        <v>6</v>
      </c>
      <c r="D196" s="64">
        <v>430.86</v>
      </c>
      <c r="E196" s="66"/>
      <c r="F196" s="66"/>
      <c r="G196" s="66"/>
      <c r="H196" s="66"/>
      <c r="I196" s="1">
        <f t="shared" si="5"/>
        <v>6</v>
      </c>
    </row>
    <row r="197" spans="1:9" x14ac:dyDescent="0.25">
      <c r="A197" s="64">
        <v>80880909</v>
      </c>
      <c r="B197" s="64" t="s">
        <v>335</v>
      </c>
      <c r="C197" s="65">
        <v>3</v>
      </c>
      <c r="D197" s="64">
        <v>231.81</v>
      </c>
      <c r="E197" s="66"/>
      <c r="F197" s="66"/>
      <c r="G197" s="66"/>
      <c r="H197" s="66"/>
      <c r="I197" s="1">
        <f t="shared" si="5"/>
        <v>3</v>
      </c>
    </row>
    <row r="198" spans="1:9" x14ac:dyDescent="0.25">
      <c r="A198" s="64">
        <v>83911281</v>
      </c>
      <c r="B198" s="64" t="s">
        <v>337</v>
      </c>
      <c r="C198" s="65">
        <v>3</v>
      </c>
      <c r="D198" s="64">
        <v>215.43</v>
      </c>
      <c r="E198" s="66"/>
      <c r="F198" s="66"/>
      <c r="G198" s="66">
        <v>1</v>
      </c>
      <c r="H198" s="66">
        <v>3</v>
      </c>
      <c r="I198" s="1">
        <f t="shared" si="5"/>
        <v>0</v>
      </c>
    </row>
    <row r="199" spans="1:9" x14ac:dyDescent="0.25">
      <c r="A199" s="64">
        <v>80830411</v>
      </c>
      <c r="B199" s="64" t="s">
        <v>385</v>
      </c>
      <c r="C199" s="65">
        <v>1</v>
      </c>
      <c r="D199" s="64">
        <v>276.79000000000002</v>
      </c>
      <c r="E199" s="66"/>
      <c r="F199" s="66"/>
      <c r="G199" s="66"/>
      <c r="H199" s="66"/>
      <c r="I199" s="1">
        <f t="shared" si="5"/>
        <v>1</v>
      </c>
    </row>
    <row r="200" spans="1:9" x14ac:dyDescent="0.25">
      <c r="A200" s="64">
        <v>83921921</v>
      </c>
      <c r="B200" s="64" t="s">
        <v>346</v>
      </c>
      <c r="C200" s="65">
        <v>3</v>
      </c>
      <c r="D200" s="64">
        <v>875.01</v>
      </c>
      <c r="E200" s="66"/>
      <c r="F200" s="66"/>
      <c r="G200" s="66"/>
      <c r="H200" s="66"/>
      <c r="I200" s="1">
        <f t="shared" si="5"/>
        <v>3</v>
      </c>
    </row>
    <row r="201" spans="1:9" x14ac:dyDescent="0.25">
      <c r="A201" s="64">
        <v>83918762</v>
      </c>
      <c r="B201" s="64" t="s">
        <v>347</v>
      </c>
      <c r="C201" s="65">
        <v>2</v>
      </c>
      <c r="D201" s="64">
        <v>1015</v>
      </c>
      <c r="E201" s="66"/>
      <c r="F201" s="66"/>
      <c r="G201" s="66"/>
      <c r="H201" s="66"/>
      <c r="I201" s="1">
        <f t="shared" si="5"/>
        <v>2</v>
      </c>
    </row>
    <row r="202" spans="1:9" x14ac:dyDescent="0.25">
      <c r="A202" s="64">
        <v>83921924</v>
      </c>
      <c r="B202" s="64" t="s">
        <v>348</v>
      </c>
      <c r="C202" s="65">
        <v>6</v>
      </c>
      <c r="D202" s="64">
        <v>1750.02</v>
      </c>
      <c r="E202" s="66"/>
      <c r="F202" s="66"/>
      <c r="G202" s="66"/>
      <c r="H202" s="66"/>
      <c r="I202" s="1">
        <f t="shared" si="5"/>
        <v>6</v>
      </c>
    </row>
    <row r="203" spans="1:9" x14ac:dyDescent="0.25">
      <c r="A203" s="64">
        <v>83921923</v>
      </c>
      <c r="B203" s="64" t="s">
        <v>349</v>
      </c>
      <c r="C203" s="65">
        <v>4</v>
      </c>
      <c r="D203" s="64">
        <v>1166.68</v>
      </c>
      <c r="E203" s="66"/>
      <c r="F203" s="66"/>
      <c r="G203" s="66"/>
      <c r="H203" s="66"/>
      <c r="I203" s="1">
        <f t="shared" si="5"/>
        <v>4</v>
      </c>
    </row>
    <row r="204" spans="1:9" x14ac:dyDescent="0.25">
      <c r="A204" s="64">
        <v>80895502</v>
      </c>
      <c r="B204" s="64" t="s">
        <v>351</v>
      </c>
      <c r="C204" s="65">
        <v>3</v>
      </c>
      <c r="D204" s="64">
        <v>245.01</v>
      </c>
      <c r="E204" s="66"/>
      <c r="F204" s="66"/>
      <c r="G204" s="66"/>
      <c r="H204" s="66"/>
      <c r="I204" s="1">
        <f t="shared" si="5"/>
        <v>3</v>
      </c>
    </row>
    <row r="205" spans="1:9" x14ac:dyDescent="0.25">
      <c r="A205" s="64">
        <v>83912164</v>
      </c>
      <c r="B205" s="64" t="s">
        <v>355</v>
      </c>
      <c r="C205" s="65">
        <v>9</v>
      </c>
      <c r="D205" s="64">
        <v>735.03</v>
      </c>
      <c r="E205" s="66"/>
      <c r="F205" s="66"/>
      <c r="G205" s="66"/>
      <c r="H205" s="66"/>
      <c r="I205" s="1">
        <f t="shared" si="5"/>
        <v>9</v>
      </c>
    </row>
    <row r="206" spans="1:9" x14ac:dyDescent="0.25">
      <c r="A206" s="64">
        <v>83918758</v>
      </c>
      <c r="B206" s="64" t="s">
        <v>356</v>
      </c>
      <c r="C206" s="65">
        <v>3</v>
      </c>
      <c r="D206" s="64">
        <v>237.51</v>
      </c>
      <c r="E206" s="66"/>
      <c r="F206" s="66"/>
      <c r="G206" s="66"/>
      <c r="H206" s="66"/>
      <c r="I206" s="1">
        <f t="shared" si="5"/>
        <v>3</v>
      </c>
    </row>
    <row r="207" spans="1:9" x14ac:dyDescent="0.25">
      <c r="A207" s="64">
        <v>83918759</v>
      </c>
      <c r="B207" s="64" t="s">
        <v>357</v>
      </c>
      <c r="C207" s="65">
        <v>15</v>
      </c>
      <c r="D207" s="64">
        <v>1187.55</v>
      </c>
      <c r="E207" s="66"/>
      <c r="F207" s="66"/>
      <c r="G207" s="66"/>
      <c r="H207" s="66"/>
      <c r="I207" s="1">
        <f t="shared" si="5"/>
        <v>15</v>
      </c>
    </row>
    <row r="208" spans="1:9" x14ac:dyDescent="0.25">
      <c r="A208" s="64">
        <v>83918765</v>
      </c>
      <c r="B208" s="64" t="s">
        <v>359</v>
      </c>
      <c r="C208" s="65">
        <v>16</v>
      </c>
      <c r="D208" s="64">
        <v>8120</v>
      </c>
      <c r="E208" s="66"/>
      <c r="F208" s="66"/>
      <c r="G208" s="66"/>
      <c r="H208" s="66"/>
      <c r="I208" s="1">
        <f t="shared" si="5"/>
        <v>16</v>
      </c>
    </row>
    <row r="209" spans="1:9" x14ac:dyDescent="0.25">
      <c r="A209" s="64">
        <v>83912166</v>
      </c>
      <c r="B209" s="64" t="s">
        <v>360</v>
      </c>
      <c r="C209" s="65">
        <v>9</v>
      </c>
      <c r="D209" s="64">
        <v>735.03</v>
      </c>
      <c r="E209" s="66"/>
      <c r="F209" s="66"/>
      <c r="G209" s="66"/>
      <c r="H209" s="66"/>
      <c r="I209" s="1">
        <f t="shared" si="5"/>
        <v>9</v>
      </c>
    </row>
    <row r="210" spans="1:9" x14ac:dyDescent="0.25">
      <c r="A210" s="64">
        <v>83933413</v>
      </c>
      <c r="B210" s="64" t="s">
        <v>361</v>
      </c>
      <c r="C210" s="65">
        <v>14</v>
      </c>
      <c r="D210" s="64">
        <v>4857.4399999999996</v>
      </c>
      <c r="E210" s="66"/>
      <c r="F210" s="66"/>
      <c r="G210" s="66"/>
      <c r="H210" s="66"/>
      <c r="I210" s="1">
        <f t="shared" si="5"/>
        <v>14</v>
      </c>
    </row>
    <row r="211" spans="1:9" x14ac:dyDescent="0.25">
      <c r="A211" s="64">
        <v>80879273</v>
      </c>
      <c r="B211" s="64" t="s">
        <v>362</v>
      </c>
      <c r="C211" s="65">
        <v>3</v>
      </c>
      <c r="D211" s="64">
        <v>225</v>
      </c>
      <c r="E211" s="66"/>
      <c r="F211" s="66"/>
      <c r="G211" s="66"/>
      <c r="H211" s="66"/>
      <c r="I211" s="1">
        <f t="shared" si="5"/>
        <v>3</v>
      </c>
    </row>
    <row r="212" spans="1:9" x14ac:dyDescent="0.25">
      <c r="A212" s="64">
        <v>80870358</v>
      </c>
      <c r="B212" s="64" t="s">
        <v>368</v>
      </c>
      <c r="C212" s="65">
        <v>4</v>
      </c>
      <c r="D212" s="64">
        <v>1010.12</v>
      </c>
      <c r="E212" s="66"/>
      <c r="F212" s="66"/>
      <c r="G212" s="66"/>
      <c r="H212" s="66"/>
      <c r="I212" s="1">
        <f t="shared" si="5"/>
        <v>4</v>
      </c>
    </row>
    <row r="213" spans="1:9" x14ac:dyDescent="0.25">
      <c r="A213" s="64">
        <v>80869896</v>
      </c>
      <c r="B213" s="64" t="s">
        <v>369</v>
      </c>
      <c r="C213" s="65">
        <v>3</v>
      </c>
      <c r="D213" s="64">
        <v>148.64999999999998</v>
      </c>
      <c r="E213" s="66"/>
      <c r="F213" s="66"/>
      <c r="G213" s="66"/>
      <c r="H213" s="66"/>
      <c r="I213" s="1">
        <f t="shared" si="5"/>
        <v>3</v>
      </c>
    </row>
    <row r="214" spans="1:9" x14ac:dyDescent="0.25">
      <c r="A214" s="64">
        <v>83911635</v>
      </c>
      <c r="B214" s="64" t="s">
        <v>371</v>
      </c>
      <c r="C214" s="65">
        <v>16</v>
      </c>
      <c r="D214" s="64">
        <v>720.64</v>
      </c>
      <c r="E214" s="66"/>
      <c r="F214" s="66"/>
      <c r="G214" s="66"/>
      <c r="H214" s="66"/>
      <c r="I214" s="1">
        <f t="shared" si="5"/>
        <v>16</v>
      </c>
    </row>
    <row r="215" spans="1:9" x14ac:dyDescent="0.25">
      <c r="A215" s="64">
        <v>83911777</v>
      </c>
      <c r="B215" s="64" t="s">
        <v>372</v>
      </c>
      <c r="C215" s="65">
        <v>12</v>
      </c>
      <c r="D215" s="64">
        <v>432.36</v>
      </c>
      <c r="E215" s="66"/>
      <c r="F215" s="66"/>
      <c r="G215" s="66"/>
      <c r="H215" s="66"/>
      <c r="I215" s="1">
        <f t="shared" si="5"/>
        <v>12</v>
      </c>
    </row>
    <row r="216" spans="1:9" x14ac:dyDescent="0.25">
      <c r="A216" s="64">
        <v>83911783</v>
      </c>
      <c r="B216" s="64" t="s">
        <v>373</v>
      </c>
      <c r="C216" s="65">
        <v>4</v>
      </c>
      <c r="D216" s="64">
        <v>162.16</v>
      </c>
      <c r="E216" s="66"/>
      <c r="F216" s="66"/>
      <c r="G216" s="66"/>
      <c r="H216" s="66"/>
      <c r="I216" s="1">
        <f t="shared" si="5"/>
        <v>4</v>
      </c>
    </row>
    <row r="217" spans="1:9" x14ac:dyDescent="0.25">
      <c r="A217" s="64">
        <v>80870357</v>
      </c>
      <c r="B217" s="64" t="s">
        <v>376</v>
      </c>
      <c r="C217" s="65">
        <v>1</v>
      </c>
      <c r="D217" s="64">
        <v>232.32</v>
      </c>
      <c r="E217" s="66"/>
      <c r="F217" s="66"/>
      <c r="G217" s="66"/>
      <c r="H217" s="66"/>
      <c r="I217" s="1">
        <f t="shared" si="5"/>
        <v>1</v>
      </c>
    </row>
    <row r="218" spans="1:9" x14ac:dyDescent="0.25">
      <c r="A218" s="64">
        <v>80887674</v>
      </c>
      <c r="B218" s="64" t="s">
        <v>378</v>
      </c>
      <c r="C218" s="65">
        <v>2</v>
      </c>
      <c r="D218" s="64">
        <v>263.16000000000003</v>
      </c>
      <c r="E218" s="66"/>
      <c r="F218" s="66"/>
      <c r="G218" s="66"/>
      <c r="H218" s="66"/>
      <c r="I218" s="1">
        <f t="shared" si="5"/>
        <v>2</v>
      </c>
    </row>
    <row r="219" spans="1:9" x14ac:dyDescent="0.25">
      <c r="A219" s="64">
        <v>80893410</v>
      </c>
      <c r="B219" s="64" t="s">
        <v>380</v>
      </c>
      <c r="C219" s="65">
        <v>6</v>
      </c>
      <c r="D219" s="64">
        <v>535.14</v>
      </c>
      <c r="E219" s="66"/>
      <c r="F219" s="66"/>
      <c r="G219" s="66"/>
      <c r="H219" s="66"/>
      <c r="I219" s="1">
        <f t="shared" si="5"/>
        <v>6</v>
      </c>
    </row>
    <row r="220" spans="1:9" x14ac:dyDescent="0.25">
      <c r="A220" s="64">
        <v>83904003</v>
      </c>
      <c r="B220" s="64" t="s">
        <v>305</v>
      </c>
      <c r="C220" s="65">
        <v>2</v>
      </c>
      <c r="D220" s="64">
        <v>220.4</v>
      </c>
      <c r="E220" s="66"/>
      <c r="F220" s="66"/>
      <c r="G220" s="66"/>
      <c r="H220" s="66"/>
      <c r="I220" s="1">
        <f t="shared" si="5"/>
        <v>2</v>
      </c>
    </row>
    <row r="221" spans="1:9" x14ac:dyDescent="0.25">
      <c r="A221" s="64">
        <v>80803712</v>
      </c>
      <c r="B221" s="64" t="s">
        <v>396</v>
      </c>
      <c r="C221" s="65">
        <v>1</v>
      </c>
      <c r="D221" s="64">
        <v>348.83</v>
      </c>
      <c r="E221" s="66"/>
      <c r="F221" s="66"/>
      <c r="G221" s="66"/>
      <c r="H221" s="66"/>
      <c r="I221" s="1">
        <f t="shared" si="5"/>
        <v>1</v>
      </c>
    </row>
    <row r="222" spans="1:9" x14ac:dyDescent="0.25">
      <c r="A222" s="64">
        <v>80866723</v>
      </c>
      <c r="B222" s="64" t="s">
        <v>317</v>
      </c>
      <c r="C222" s="65">
        <v>3</v>
      </c>
      <c r="D222" s="64">
        <v>776.76</v>
      </c>
      <c r="E222" s="66"/>
      <c r="F222" s="66"/>
      <c r="G222" s="66"/>
      <c r="H222" s="66"/>
      <c r="I222" s="1">
        <f t="shared" si="5"/>
        <v>3</v>
      </c>
    </row>
    <row r="223" spans="1:9" x14ac:dyDescent="0.25">
      <c r="A223" s="64">
        <v>80864300</v>
      </c>
      <c r="B223" s="64" t="s">
        <v>321</v>
      </c>
      <c r="C223" s="65">
        <v>2</v>
      </c>
      <c r="D223" s="64">
        <v>173.1</v>
      </c>
      <c r="E223" s="66"/>
      <c r="F223" s="66"/>
      <c r="G223" s="66"/>
      <c r="H223" s="66"/>
      <c r="I223" s="1">
        <f t="shared" si="5"/>
        <v>2</v>
      </c>
    </row>
    <row r="224" spans="1:9" x14ac:dyDescent="0.25">
      <c r="A224" s="64">
        <v>80875513</v>
      </c>
      <c r="B224" s="64" t="s">
        <v>322</v>
      </c>
      <c r="C224" s="65">
        <v>4</v>
      </c>
      <c r="D224" s="64">
        <v>614</v>
      </c>
      <c r="E224" s="66"/>
      <c r="F224" s="66"/>
      <c r="G224" s="66"/>
      <c r="H224" s="66"/>
      <c r="I224" s="1">
        <f t="shared" si="5"/>
        <v>4</v>
      </c>
    </row>
    <row r="225" spans="1:9" x14ac:dyDescent="0.25">
      <c r="A225" s="64">
        <v>80864297</v>
      </c>
      <c r="B225" s="64" t="s">
        <v>326</v>
      </c>
      <c r="C225" s="65">
        <v>25</v>
      </c>
      <c r="D225" s="64">
        <v>3837.5</v>
      </c>
      <c r="E225" s="66"/>
      <c r="F225" s="66"/>
      <c r="G225" s="66"/>
      <c r="H225" s="66"/>
      <c r="I225" s="1">
        <f t="shared" si="5"/>
        <v>25</v>
      </c>
    </row>
    <row r="226" spans="1:9" x14ac:dyDescent="0.25">
      <c r="A226" s="64">
        <v>80832394</v>
      </c>
      <c r="B226" s="64" t="s">
        <v>331</v>
      </c>
      <c r="C226" s="65">
        <v>1</v>
      </c>
      <c r="D226" s="64">
        <v>372.8</v>
      </c>
      <c r="E226" s="66"/>
      <c r="F226" s="66"/>
      <c r="G226" s="66"/>
      <c r="H226" s="66"/>
      <c r="I226" s="1">
        <f t="shared" si="5"/>
        <v>1</v>
      </c>
    </row>
    <row r="227" spans="1:9" x14ac:dyDescent="0.25">
      <c r="A227" s="64">
        <v>83911270</v>
      </c>
      <c r="B227" s="64" t="s">
        <v>332</v>
      </c>
      <c r="C227" s="65">
        <v>3</v>
      </c>
      <c r="D227" s="64">
        <v>215.43</v>
      </c>
      <c r="E227" s="66"/>
      <c r="F227" s="66"/>
      <c r="G227" s="66"/>
      <c r="H227" s="66"/>
      <c r="I227" s="1">
        <f t="shared" si="5"/>
        <v>3</v>
      </c>
    </row>
    <row r="228" spans="1:9" x14ac:dyDescent="0.25">
      <c r="A228" s="64">
        <v>80892904</v>
      </c>
      <c r="B228" s="64" t="s">
        <v>333</v>
      </c>
      <c r="C228" s="65">
        <v>15</v>
      </c>
      <c r="D228" s="64">
        <v>1077.1500000000001</v>
      </c>
      <c r="E228" s="66"/>
      <c r="F228" s="66"/>
      <c r="G228" s="66"/>
      <c r="H228" s="66"/>
      <c r="I228" s="1">
        <f t="shared" si="5"/>
        <v>15</v>
      </c>
    </row>
    <row r="229" spans="1:9" x14ac:dyDescent="0.25">
      <c r="A229" s="64">
        <v>83911280</v>
      </c>
      <c r="B229" s="64" t="s">
        <v>334</v>
      </c>
      <c r="C229" s="65">
        <v>6</v>
      </c>
      <c r="D229" s="64">
        <v>430.86</v>
      </c>
      <c r="E229" s="66"/>
      <c r="F229" s="66"/>
      <c r="G229" s="66"/>
      <c r="H229" s="66"/>
      <c r="I229" s="1">
        <f t="shared" si="5"/>
        <v>6</v>
      </c>
    </row>
    <row r="230" spans="1:9" x14ac:dyDescent="0.25">
      <c r="A230" s="64">
        <v>83911276</v>
      </c>
      <c r="B230" s="64" t="s">
        <v>336</v>
      </c>
      <c r="C230" s="65">
        <v>6</v>
      </c>
      <c r="D230" s="64">
        <v>430.86</v>
      </c>
      <c r="E230" s="66"/>
      <c r="F230" s="66"/>
      <c r="G230" s="66">
        <v>1</v>
      </c>
      <c r="H230" s="66">
        <v>3</v>
      </c>
      <c r="I230" s="1">
        <f t="shared" si="5"/>
        <v>3</v>
      </c>
    </row>
    <row r="231" spans="1:9" x14ac:dyDescent="0.25">
      <c r="A231" s="64">
        <v>83911281</v>
      </c>
      <c r="B231" s="64" t="s">
        <v>337</v>
      </c>
      <c r="C231" s="65">
        <v>3</v>
      </c>
      <c r="D231" s="64">
        <v>215.43</v>
      </c>
      <c r="E231" s="66"/>
      <c r="F231" s="66"/>
      <c r="G231" s="66"/>
      <c r="H231" s="66"/>
      <c r="I231" s="1">
        <f t="shared" si="5"/>
        <v>3</v>
      </c>
    </row>
    <row r="232" spans="1:9" x14ac:dyDescent="0.25">
      <c r="A232" s="64">
        <v>80878182</v>
      </c>
      <c r="B232" s="64" t="s">
        <v>338</v>
      </c>
      <c r="C232" s="65">
        <v>2</v>
      </c>
      <c r="D232" s="64">
        <v>189.56</v>
      </c>
      <c r="E232" s="67" t="s">
        <v>320</v>
      </c>
      <c r="F232" s="66"/>
      <c r="G232" s="66">
        <v>1</v>
      </c>
      <c r="H232" s="66">
        <v>2</v>
      </c>
      <c r="I232" s="1">
        <f t="shared" si="5"/>
        <v>0</v>
      </c>
    </row>
    <row r="233" spans="1:9" x14ac:dyDescent="0.25">
      <c r="A233" s="64">
        <v>80895602</v>
      </c>
      <c r="B233" s="64" t="s">
        <v>341</v>
      </c>
      <c r="C233" s="65">
        <v>6</v>
      </c>
      <c r="D233" s="64">
        <v>250.02</v>
      </c>
      <c r="E233" s="66"/>
      <c r="F233" s="66"/>
      <c r="G233" s="66"/>
      <c r="H233" s="66"/>
      <c r="I233" s="1">
        <f t="shared" si="5"/>
        <v>6</v>
      </c>
    </row>
    <row r="234" spans="1:9" x14ac:dyDescent="0.25">
      <c r="A234" s="64">
        <v>83924708</v>
      </c>
      <c r="B234" s="64" t="s">
        <v>345</v>
      </c>
      <c r="C234" s="65">
        <v>11</v>
      </c>
      <c r="D234" s="64">
        <v>5490.76</v>
      </c>
      <c r="E234" s="66"/>
      <c r="F234" s="66"/>
      <c r="G234" s="66"/>
      <c r="H234" s="66"/>
      <c r="I234" s="1">
        <f t="shared" si="5"/>
        <v>11</v>
      </c>
    </row>
    <row r="235" spans="1:9" x14ac:dyDescent="0.25">
      <c r="A235" s="64">
        <v>83921921</v>
      </c>
      <c r="B235" s="64" t="s">
        <v>346</v>
      </c>
      <c r="C235" s="65">
        <v>3</v>
      </c>
      <c r="D235" s="64">
        <v>875.01</v>
      </c>
      <c r="E235" s="66"/>
      <c r="F235" s="66"/>
      <c r="G235" s="66"/>
      <c r="H235" s="66"/>
      <c r="I235" s="1">
        <f t="shared" si="5"/>
        <v>3</v>
      </c>
    </row>
    <row r="236" spans="1:9" x14ac:dyDescent="0.25">
      <c r="A236" s="64">
        <v>83918762</v>
      </c>
      <c r="B236" s="64" t="s">
        <v>347</v>
      </c>
      <c r="C236" s="65">
        <v>16</v>
      </c>
      <c r="D236" s="64">
        <v>8120</v>
      </c>
      <c r="E236" s="66"/>
      <c r="F236" s="66"/>
      <c r="G236" s="66"/>
      <c r="H236" s="66"/>
      <c r="I236" s="1">
        <f t="shared" si="5"/>
        <v>16</v>
      </c>
    </row>
    <row r="237" spans="1:9" x14ac:dyDescent="0.25">
      <c r="A237" s="64">
        <v>83921923</v>
      </c>
      <c r="B237" s="64" t="s">
        <v>349</v>
      </c>
      <c r="C237" s="65">
        <v>4</v>
      </c>
      <c r="D237" s="64">
        <v>1166.68</v>
      </c>
      <c r="E237" s="66"/>
      <c r="F237" s="66"/>
      <c r="G237" s="66"/>
      <c r="H237" s="66"/>
      <c r="I237" s="1">
        <f t="shared" si="5"/>
        <v>4</v>
      </c>
    </row>
    <row r="238" spans="1:9" x14ac:dyDescent="0.25">
      <c r="A238" s="64">
        <v>83912172</v>
      </c>
      <c r="B238" s="64" t="s">
        <v>353</v>
      </c>
      <c r="C238" s="65">
        <v>6</v>
      </c>
      <c r="D238" s="64">
        <v>465</v>
      </c>
      <c r="E238" s="66"/>
      <c r="F238" s="66"/>
      <c r="G238" s="66"/>
      <c r="H238" s="66"/>
      <c r="I238" s="1">
        <f t="shared" si="5"/>
        <v>6</v>
      </c>
    </row>
    <row r="239" spans="1:9" x14ac:dyDescent="0.25">
      <c r="A239" s="64">
        <v>83912164</v>
      </c>
      <c r="B239" s="64" t="s">
        <v>355</v>
      </c>
      <c r="C239" s="65">
        <v>3</v>
      </c>
      <c r="D239" s="64">
        <v>245.01</v>
      </c>
      <c r="E239" s="66"/>
      <c r="F239" s="66"/>
      <c r="G239" s="66"/>
      <c r="H239" s="66"/>
      <c r="I239" s="1">
        <f t="shared" si="5"/>
        <v>3</v>
      </c>
    </row>
    <row r="240" spans="1:9" x14ac:dyDescent="0.25">
      <c r="A240" s="64">
        <v>83918759</v>
      </c>
      <c r="B240" s="64" t="s">
        <v>357</v>
      </c>
      <c r="C240" s="65">
        <v>39</v>
      </c>
      <c r="D240" s="64">
        <v>3087.63</v>
      </c>
      <c r="E240" s="66"/>
      <c r="F240" s="66"/>
      <c r="G240" s="66"/>
      <c r="H240" s="66"/>
      <c r="I240" s="1">
        <f t="shared" si="5"/>
        <v>39</v>
      </c>
    </row>
    <row r="241" spans="1:9" x14ac:dyDescent="0.25">
      <c r="A241" s="64">
        <v>80895517</v>
      </c>
      <c r="B241" s="64" t="s">
        <v>358</v>
      </c>
      <c r="C241" s="65">
        <v>3</v>
      </c>
      <c r="D241" s="64">
        <v>292.5</v>
      </c>
      <c r="E241" s="66"/>
      <c r="F241" s="66"/>
      <c r="G241" s="66"/>
      <c r="H241" s="66"/>
      <c r="I241" s="1">
        <f t="shared" si="5"/>
        <v>3</v>
      </c>
    </row>
    <row r="242" spans="1:9" x14ac:dyDescent="0.25">
      <c r="A242" s="64">
        <v>83918765</v>
      </c>
      <c r="B242" s="64" t="s">
        <v>359</v>
      </c>
      <c r="C242" s="65">
        <v>25</v>
      </c>
      <c r="D242" s="64">
        <v>12687.5</v>
      </c>
      <c r="E242" s="66"/>
      <c r="F242" s="66"/>
      <c r="G242" s="66"/>
      <c r="H242" s="66"/>
      <c r="I242" s="1">
        <f t="shared" si="5"/>
        <v>25</v>
      </c>
    </row>
    <row r="243" spans="1:9" x14ac:dyDescent="0.25">
      <c r="A243" s="64">
        <v>83912166</v>
      </c>
      <c r="B243" s="64" t="s">
        <v>360</v>
      </c>
      <c r="C243" s="65">
        <v>6</v>
      </c>
      <c r="D243" s="64">
        <v>490.02</v>
      </c>
      <c r="E243" s="66"/>
      <c r="F243" s="66"/>
      <c r="G243" s="66"/>
      <c r="H243" s="66"/>
      <c r="I243" s="1">
        <f t="shared" si="5"/>
        <v>6</v>
      </c>
    </row>
    <row r="244" spans="1:9" x14ac:dyDescent="0.25">
      <c r="A244" s="64">
        <v>83933413</v>
      </c>
      <c r="B244" s="64" t="s">
        <v>361</v>
      </c>
      <c r="C244" s="65">
        <v>11</v>
      </c>
      <c r="D244" s="64">
        <v>3816.56</v>
      </c>
      <c r="E244" s="66"/>
      <c r="F244" s="66"/>
      <c r="G244" s="66"/>
      <c r="H244" s="66"/>
      <c r="I244" s="1">
        <f t="shared" si="5"/>
        <v>11</v>
      </c>
    </row>
    <row r="245" spans="1:9" x14ac:dyDescent="0.25">
      <c r="A245" s="64">
        <v>80879273</v>
      </c>
      <c r="B245" s="64" t="s">
        <v>362</v>
      </c>
      <c r="C245" s="65">
        <v>6</v>
      </c>
      <c r="D245" s="64">
        <v>450</v>
      </c>
      <c r="E245" s="66"/>
      <c r="F245" s="66"/>
      <c r="G245" s="66"/>
      <c r="H245" s="66"/>
      <c r="I245" s="1">
        <f t="shared" si="5"/>
        <v>6</v>
      </c>
    </row>
    <row r="246" spans="1:9" x14ac:dyDescent="0.25">
      <c r="A246" s="64">
        <v>80870358</v>
      </c>
      <c r="B246" s="64" t="s">
        <v>368</v>
      </c>
      <c r="C246" s="65">
        <v>2</v>
      </c>
      <c r="D246" s="64">
        <v>505.06</v>
      </c>
      <c r="E246" s="66"/>
      <c r="F246" s="66"/>
      <c r="G246" s="66"/>
      <c r="H246" s="66"/>
      <c r="I246" s="1">
        <f t="shared" si="5"/>
        <v>2</v>
      </c>
    </row>
    <row r="247" spans="1:9" x14ac:dyDescent="0.25">
      <c r="A247" s="64">
        <v>80869896</v>
      </c>
      <c r="B247" s="64" t="s">
        <v>369</v>
      </c>
      <c r="C247" s="65">
        <v>3</v>
      </c>
      <c r="D247" s="64">
        <v>148.64999999999998</v>
      </c>
      <c r="E247" s="66"/>
      <c r="F247" s="66"/>
      <c r="G247" s="66"/>
      <c r="H247" s="66"/>
      <c r="I247" s="1">
        <f t="shared" si="5"/>
        <v>3</v>
      </c>
    </row>
    <row r="248" spans="1:9" x14ac:dyDescent="0.25">
      <c r="A248" s="64">
        <v>83911635</v>
      </c>
      <c r="B248" s="64" t="s">
        <v>371</v>
      </c>
      <c r="C248" s="65">
        <v>52</v>
      </c>
      <c r="D248" s="64">
        <v>2342.08</v>
      </c>
      <c r="E248" s="66"/>
      <c r="F248" s="66"/>
      <c r="G248" s="66"/>
      <c r="H248" s="66"/>
      <c r="I248" s="1">
        <f t="shared" si="5"/>
        <v>52</v>
      </c>
    </row>
    <row r="249" spans="1:9" x14ac:dyDescent="0.25">
      <c r="A249" s="64">
        <v>83925440</v>
      </c>
      <c r="B249" s="64" t="s">
        <v>372</v>
      </c>
      <c r="C249" s="65">
        <v>8</v>
      </c>
      <c r="D249" s="64">
        <v>288.24</v>
      </c>
      <c r="E249" s="66"/>
      <c r="F249" s="66"/>
      <c r="G249" s="66"/>
      <c r="H249" s="66"/>
      <c r="I249" s="1">
        <f t="shared" si="5"/>
        <v>8</v>
      </c>
    </row>
    <row r="250" spans="1:9" x14ac:dyDescent="0.25">
      <c r="A250" s="64">
        <v>83911783</v>
      </c>
      <c r="B250" s="64" t="s">
        <v>373</v>
      </c>
      <c r="C250" s="65">
        <v>4</v>
      </c>
      <c r="D250" s="64">
        <v>162.16</v>
      </c>
      <c r="E250" s="66"/>
      <c r="F250" s="66"/>
      <c r="G250" s="66"/>
      <c r="H250" s="66"/>
      <c r="I250" s="1">
        <f t="shared" si="5"/>
        <v>4</v>
      </c>
    </row>
    <row r="251" spans="1:9" x14ac:dyDescent="0.25">
      <c r="A251" s="64">
        <v>80870357</v>
      </c>
      <c r="B251" s="64" t="s">
        <v>376</v>
      </c>
      <c r="C251" s="65">
        <v>9</v>
      </c>
      <c r="D251" s="64">
        <v>2090.88</v>
      </c>
      <c r="E251" s="66"/>
      <c r="F251" s="66"/>
      <c r="G251" s="66"/>
      <c r="H251" s="66"/>
      <c r="I251" s="1">
        <f t="shared" si="5"/>
        <v>9</v>
      </c>
    </row>
    <row r="252" spans="1:9" x14ac:dyDescent="0.25">
      <c r="A252" s="64">
        <v>80862826</v>
      </c>
      <c r="B252" s="64" t="s">
        <v>303</v>
      </c>
      <c r="C252" s="65">
        <v>3</v>
      </c>
      <c r="D252" s="64">
        <v>190.2</v>
      </c>
      <c r="E252" s="66"/>
      <c r="F252" s="66"/>
      <c r="G252" s="66"/>
      <c r="H252" s="66"/>
      <c r="I252" s="1">
        <f t="shared" si="5"/>
        <v>3</v>
      </c>
    </row>
    <row r="253" spans="1:9" x14ac:dyDescent="0.25">
      <c r="A253" s="64">
        <v>83904003</v>
      </c>
      <c r="B253" s="64" t="s">
        <v>305</v>
      </c>
      <c r="C253" s="65">
        <v>12</v>
      </c>
      <c r="D253" s="64">
        <v>1322.4</v>
      </c>
      <c r="E253" s="66"/>
      <c r="F253" s="66"/>
      <c r="G253" s="66"/>
      <c r="H253" s="66"/>
      <c r="I253" s="1">
        <f t="shared" si="5"/>
        <v>12</v>
      </c>
    </row>
    <row r="254" spans="1:9" x14ac:dyDescent="0.25">
      <c r="A254" s="64">
        <v>80797470</v>
      </c>
      <c r="B254" s="64" t="s">
        <v>309</v>
      </c>
      <c r="C254" s="65">
        <v>1</v>
      </c>
      <c r="D254" s="64">
        <v>379.46</v>
      </c>
      <c r="E254" s="66"/>
      <c r="F254" s="66"/>
      <c r="G254" s="66"/>
      <c r="H254" s="66"/>
      <c r="I254" s="1">
        <f t="shared" si="5"/>
        <v>1</v>
      </c>
    </row>
    <row r="255" spans="1:9" x14ac:dyDescent="0.25">
      <c r="A255" s="64">
        <v>80867316</v>
      </c>
      <c r="B255" s="64" t="s">
        <v>310</v>
      </c>
      <c r="C255" s="65">
        <v>2</v>
      </c>
      <c r="D255" s="64">
        <v>176.78</v>
      </c>
      <c r="E255" s="66"/>
      <c r="F255" s="66"/>
      <c r="G255" s="66"/>
      <c r="H255" s="66"/>
      <c r="I255" s="1">
        <f t="shared" si="5"/>
        <v>2</v>
      </c>
    </row>
    <row r="256" spans="1:9" x14ac:dyDescent="0.25">
      <c r="A256" s="64">
        <v>80876082</v>
      </c>
      <c r="B256" s="64" t="s">
        <v>312</v>
      </c>
      <c r="C256" s="65">
        <v>2</v>
      </c>
      <c r="D256" s="64">
        <v>623.20000000000005</v>
      </c>
      <c r="E256" s="66"/>
      <c r="F256" s="66"/>
      <c r="G256" s="66"/>
      <c r="H256" s="66"/>
      <c r="I256" s="1">
        <f t="shared" si="5"/>
        <v>2</v>
      </c>
    </row>
    <row r="257" spans="1:9" x14ac:dyDescent="0.25">
      <c r="A257" s="64">
        <v>80803710</v>
      </c>
      <c r="B257" s="64" t="s">
        <v>313</v>
      </c>
      <c r="C257" s="65">
        <v>1</v>
      </c>
      <c r="D257" s="64">
        <v>311.60000000000002</v>
      </c>
      <c r="E257" s="66"/>
      <c r="F257" s="66"/>
      <c r="G257" s="66"/>
      <c r="H257" s="66"/>
      <c r="I257" s="1">
        <f t="shared" si="5"/>
        <v>1</v>
      </c>
    </row>
    <row r="258" spans="1:9" x14ac:dyDescent="0.25">
      <c r="A258" s="64">
        <v>80803712</v>
      </c>
      <c r="B258" s="64" t="s">
        <v>396</v>
      </c>
      <c r="C258" s="65">
        <v>1</v>
      </c>
      <c r="D258" s="64">
        <v>348.83</v>
      </c>
      <c r="E258" s="66"/>
      <c r="F258" s="66"/>
      <c r="G258" s="66"/>
      <c r="H258" s="66"/>
      <c r="I258" s="1">
        <f t="shared" ref="I258:I321" si="6">C258-H258</f>
        <v>1</v>
      </c>
    </row>
    <row r="259" spans="1:9" x14ac:dyDescent="0.25">
      <c r="A259" s="64">
        <v>80866728</v>
      </c>
      <c r="B259" s="64" t="s">
        <v>381</v>
      </c>
      <c r="C259" s="65">
        <v>2</v>
      </c>
      <c r="D259" s="64">
        <v>482.14</v>
      </c>
      <c r="E259" s="66"/>
      <c r="F259" s="66"/>
      <c r="G259" s="66"/>
      <c r="H259" s="66"/>
      <c r="I259" s="1">
        <f t="shared" si="6"/>
        <v>2</v>
      </c>
    </row>
    <row r="260" spans="1:9" x14ac:dyDescent="0.25">
      <c r="A260" s="64">
        <v>80866725</v>
      </c>
      <c r="B260" s="64" t="s">
        <v>382</v>
      </c>
      <c r="C260" s="65">
        <v>1</v>
      </c>
      <c r="D260" s="64">
        <v>241.07</v>
      </c>
      <c r="E260" s="66"/>
      <c r="F260" s="66"/>
      <c r="G260" s="66"/>
      <c r="H260" s="66"/>
      <c r="I260" s="1">
        <f t="shared" si="6"/>
        <v>1</v>
      </c>
    </row>
    <row r="261" spans="1:9" x14ac:dyDescent="0.25">
      <c r="A261" s="64">
        <v>80866723</v>
      </c>
      <c r="B261" s="64" t="s">
        <v>317</v>
      </c>
      <c r="C261" s="65">
        <v>21</v>
      </c>
      <c r="D261" s="64">
        <v>5437.3200000000006</v>
      </c>
      <c r="E261" s="66"/>
      <c r="F261" s="66"/>
      <c r="G261" s="66"/>
      <c r="H261" s="66"/>
      <c r="I261" s="1">
        <f t="shared" si="6"/>
        <v>21</v>
      </c>
    </row>
    <row r="262" spans="1:9" x14ac:dyDescent="0.25">
      <c r="A262" s="64">
        <v>80866729</v>
      </c>
      <c r="B262" s="64" t="s">
        <v>318</v>
      </c>
      <c r="C262" s="65">
        <v>10</v>
      </c>
      <c r="D262" s="64">
        <v>2589.2000000000003</v>
      </c>
      <c r="E262" s="66"/>
      <c r="F262" s="66"/>
      <c r="G262" s="66"/>
      <c r="H262" s="66"/>
      <c r="I262" s="1">
        <f t="shared" si="6"/>
        <v>10</v>
      </c>
    </row>
    <row r="263" spans="1:9" x14ac:dyDescent="0.25">
      <c r="A263" s="64">
        <v>80864300</v>
      </c>
      <c r="B263" s="64" t="s">
        <v>321</v>
      </c>
      <c r="C263" s="65">
        <v>8</v>
      </c>
      <c r="D263" s="64">
        <v>692.4</v>
      </c>
      <c r="E263" s="66"/>
      <c r="F263" s="66"/>
      <c r="G263" s="66"/>
      <c r="H263" s="66"/>
      <c r="I263" s="1">
        <f t="shared" si="6"/>
        <v>8</v>
      </c>
    </row>
    <row r="264" spans="1:9" x14ac:dyDescent="0.25">
      <c r="A264" s="64">
        <v>80818341</v>
      </c>
      <c r="B264" s="64" t="s">
        <v>383</v>
      </c>
      <c r="C264" s="65">
        <v>1</v>
      </c>
      <c r="D264" s="64">
        <v>156.26</v>
      </c>
      <c r="E264" s="66"/>
      <c r="F264" s="66"/>
      <c r="G264" s="66"/>
      <c r="H264" s="66"/>
      <c r="I264" s="1">
        <f t="shared" si="6"/>
        <v>1</v>
      </c>
    </row>
    <row r="265" spans="1:9" x14ac:dyDescent="0.25">
      <c r="A265" s="64">
        <v>80875513</v>
      </c>
      <c r="B265" s="64" t="s">
        <v>322</v>
      </c>
      <c r="C265" s="65">
        <v>12</v>
      </c>
      <c r="D265" s="64">
        <v>1842</v>
      </c>
      <c r="E265" s="66"/>
      <c r="F265" s="66"/>
      <c r="G265" s="66"/>
      <c r="H265" s="66"/>
      <c r="I265" s="1">
        <f t="shared" si="6"/>
        <v>12</v>
      </c>
    </row>
    <row r="266" spans="1:9" x14ac:dyDescent="0.25">
      <c r="A266" s="64">
        <v>80840354</v>
      </c>
      <c r="B266" s="64" t="s">
        <v>323</v>
      </c>
      <c r="C266" s="65">
        <v>5</v>
      </c>
      <c r="D266" s="64">
        <v>1644.75</v>
      </c>
      <c r="E266" s="66"/>
      <c r="F266" s="66"/>
      <c r="G266" s="66">
        <v>1</v>
      </c>
      <c r="H266" s="66">
        <v>1</v>
      </c>
      <c r="I266" s="1">
        <f t="shared" si="6"/>
        <v>4</v>
      </c>
    </row>
    <row r="267" spans="1:9" x14ac:dyDescent="0.25">
      <c r="A267" s="64">
        <v>80840352</v>
      </c>
      <c r="B267" s="64" t="s">
        <v>324</v>
      </c>
      <c r="C267" s="65">
        <v>2</v>
      </c>
      <c r="D267" s="64">
        <v>833.34</v>
      </c>
      <c r="E267" s="66"/>
      <c r="F267" s="66"/>
      <c r="G267" s="66"/>
      <c r="H267" s="66"/>
      <c r="I267" s="1">
        <f t="shared" si="6"/>
        <v>2</v>
      </c>
    </row>
    <row r="268" spans="1:9" x14ac:dyDescent="0.25">
      <c r="A268" s="64">
        <v>80864296</v>
      </c>
      <c r="B268" s="64" t="s">
        <v>325</v>
      </c>
      <c r="C268" s="65">
        <v>3</v>
      </c>
      <c r="D268" s="64">
        <v>260.54999999999995</v>
      </c>
      <c r="E268" s="66"/>
      <c r="F268" s="66"/>
      <c r="G268" s="66"/>
      <c r="H268" s="66"/>
      <c r="I268" s="1">
        <f t="shared" si="6"/>
        <v>3</v>
      </c>
    </row>
    <row r="269" spans="1:9" x14ac:dyDescent="0.25">
      <c r="A269" s="64">
        <v>80864297</v>
      </c>
      <c r="B269" s="64" t="s">
        <v>326</v>
      </c>
      <c r="C269" s="65">
        <v>37</v>
      </c>
      <c r="D269" s="64">
        <v>5679.5</v>
      </c>
      <c r="E269" s="66"/>
      <c r="F269" s="66"/>
      <c r="G269" s="66"/>
      <c r="H269" s="66"/>
      <c r="I269" s="1">
        <f t="shared" si="6"/>
        <v>37</v>
      </c>
    </row>
    <row r="270" spans="1:9" x14ac:dyDescent="0.25">
      <c r="A270" s="64">
        <v>80832389</v>
      </c>
      <c r="B270" s="64" t="s">
        <v>328</v>
      </c>
      <c r="C270" s="65">
        <v>1</v>
      </c>
      <c r="D270" s="64">
        <v>328.95</v>
      </c>
      <c r="E270" s="66"/>
      <c r="F270" s="66"/>
      <c r="G270" s="66"/>
      <c r="H270" s="66"/>
      <c r="I270" s="1">
        <f t="shared" si="6"/>
        <v>1</v>
      </c>
    </row>
    <row r="271" spans="1:9" x14ac:dyDescent="0.25">
      <c r="A271" s="64">
        <v>80832398</v>
      </c>
      <c r="B271" s="64" t="s">
        <v>329</v>
      </c>
      <c r="C271" s="65">
        <v>2</v>
      </c>
      <c r="D271" s="64">
        <v>570.17999999999995</v>
      </c>
      <c r="E271" s="66"/>
      <c r="F271" s="66"/>
      <c r="G271" s="66"/>
      <c r="H271" s="66"/>
      <c r="I271" s="1">
        <f t="shared" si="6"/>
        <v>2</v>
      </c>
    </row>
    <row r="272" spans="1:9" x14ac:dyDescent="0.25">
      <c r="A272" s="64">
        <v>80832394</v>
      </c>
      <c r="B272" s="64" t="s">
        <v>331</v>
      </c>
      <c r="C272" s="65">
        <v>5</v>
      </c>
      <c r="D272" s="64">
        <v>1864</v>
      </c>
      <c r="E272" s="66"/>
      <c r="F272" s="66"/>
      <c r="G272" s="66"/>
      <c r="H272" s="66"/>
      <c r="I272" s="1">
        <f t="shared" si="6"/>
        <v>5</v>
      </c>
    </row>
    <row r="273" spans="1:9" x14ac:dyDescent="0.25">
      <c r="A273" s="64">
        <v>83911270</v>
      </c>
      <c r="B273" s="64" t="s">
        <v>332</v>
      </c>
      <c r="C273" s="65">
        <v>21</v>
      </c>
      <c r="D273" s="64">
        <v>1508.01</v>
      </c>
      <c r="E273" s="66"/>
      <c r="F273" s="66"/>
      <c r="G273" s="66"/>
      <c r="H273" s="66"/>
      <c r="I273" s="1">
        <f t="shared" si="6"/>
        <v>21</v>
      </c>
    </row>
    <row r="274" spans="1:9" x14ac:dyDescent="0.25">
      <c r="A274" s="64">
        <v>80892904</v>
      </c>
      <c r="B274" s="64" t="s">
        <v>333</v>
      </c>
      <c r="C274" s="65">
        <v>15</v>
      </c>
      <c r="D274" s="64">
        <v>1077.1500000000001</v>
      </c>
      <c r="E274" s="66"/>
      <c r="F274" s="66"/>
      <c r="G274" s="66"/>
      <c r="H274" s="66"/>
      <c r="I274" s="1">
        <f t="shared" si="6"/>
        <v>15</v>
      </c>
    </row>
    <row r="275" spans="1:9" x14ac:dyDescent="0.25">
      <c r="A275" s="64">
        <v>83911280</v>
      </c>
      <c r="B275" s="64" t="s">
        <v>334</v>
      </c>
      <c r="C275" s="65">
        <v>12</v>
      </c>
      <c r="D275" s="64">
        <v>861.72</v>
      </c>
      <c r="E275" s="66"/>
      <c r="F275" s="66"/>
      <c r="G275" s="66"/>
      <c r="H275" s="66"/>
      <c r="I275" s="1">
        <f t="shared" si="6"/>
        <v>12</v>
      </c>
    </row>
    <row r="276" spans="1:9" x14ac:dyDescent="0.25">
      <c r="A276" s="64">
        <v>80880909</v>
      </c>
      <c r="B276" s="64" t="s">
        <v>335</v>
      </c>
      <c r="C276" s="65">
        <v>9</v>
      </c>
      <c r="D276" s="64">
        <v>695.43000000000006</v>
      </c>
      <c r="E276" s="66"/>
      <c r="F276" s="66"/>
      <c r="G276" s="66"/>
      <c r="H276" s="66"/>
      <c r="I276" s="1">
        <f t="shared" si="6"/>
        <v>9</v>
      </c>
    </row>
    <row r="277" spans="1:9" x14ac:dyDescent="0.25">
      <c r="A277" s="64">
        <v>83911276</v>
      </c>
      <c r="B277" s="64" t="s">
        <v>336</v>
      </c>
      <c r="C277" s="65">
        <v>6</v>
      </c>
      <c r="D277" s="64">
        <v>430.86</v>
      </c>
      <c r="E277" s="66"/>
      <c r="F277" s="66"/>
      <c r="G277" s="66"/>
      <c r="H277" s="66"/>
      <c r="I277" s="1">
        <f t="shared" si="6"/>
        <v>6</v>
      </c>
    </row>
    <row r="278" spans="1:9" x14ac:dyDescent="0.25">
      <c r="A278" s="64">
        <v>83911281</v>
      </c>
      <c r="B278" s="64" t="s">
        <v>337</v>
      </c>
      <c r="C278" s="65">
        <v>45</v>
      </c>
      <c r="D278" s="64">
        <v>3231.4500000000003</v>
      </c>
      <c r="E278" s="66"/>
      <c r="F278" s="66"/>
      <c r="G278" s="66"/>
      <c r="H278" s="66"/>
      <c r="I278" s="1">
        <f t="shared" si="6"/>
        <v>45</v>
      </c>
    </row>
    <row r="279" spans="1:9" x14ac:dyDescent="0.25">
      <c r="A279" s="64">
        <v>80878182</v>
      </c>
      <c r="B279" s="64" t="s">
        <v>338</v>
      </c>
      <c r="C279" s="65">
        <v>10</v>
      </c>
      <c r="D279" s="64">
        <v>947.8</v>
      </c>
      <c r="E279" s="66"/>
      <c r="F279" s="66"/>
      <c r="G279" s="66"/>
      <c r="H279" s="66"/>
      <c r="I279" s="1">
        <f t="shared" si="6"/>
        <v>10</v>
      </c>
    </row>
    <row r="280" spans="1:9" x14ac:dyDescent="0.25">
      <c r="A280" s="64">
        <v>80830411</v>
      </c>
      <c r="B280" s="64" t="s">
        <v>385</v>
      </c>
      <c r="C280" s="65">
        <v>1</v>
      </c>
      <c r="D280" s="64">
        <v>276.79000000000002</v>
      </c>
      <c r="E280" s="66"/>
      <c r="F280" s="66"/>
      <c r="G280" s="66"/>
      <c r="H280" s="66"/>
      <c r="I280" s="1">
        <f t="shared" si="6"/>
        <v>1</v>
      </c>
    </row>
    <row r="281" spans="1:9" x14ac:dyDescent="0.25">
      <c r="A281" s="64">
        <v>80895602</v>
      </c>
      <c r="B281" s="64" t="s">
        <v>341</v>
      </c>
      <c r="C281" s="65">
        <v>4</v>
      </c>
      <c r="D281" s="64">
        <v>166.68</v>
      </c>
      <c r="E281" s="66"/>
      <c r="F281" s="66"/>
      <c r="G281" s="66"/>
      <c r="H281" s="66"/>
      <c r="I281" s="1">
        <f t="shared" si="6"/>
        <v>4</v>
      </c>
    </row>
    <row r="282" spans="1:9" x14ac:dyDescent="0.25">
      <c r="A282" s="64">
        <v>80895791</v>
      </c>
      <c r="B282" s="64" t="s">
        <v>397</v>
      </c>
      <c r="C282" s="65">
        <v>2</v>
      </c>
      <c r="D282" s="64">
        <v>216.68</v>
      </c>
      <c r="E282" s="66"/>
      <c r="F282" s="66"/>
      <c r="G282" s="66"/>
      <c r="H282" s="66"/>
      <c r="I282" s="1">
        <f t="shared" si="6"/>
        <v>2</v>
      </c>
    </row>
    <row r="283" spans="1:9" x14ac:dyDescent="0.25">
      <c r="A283" s="64">
        <v>80739423</v>
      </c>
      <c r="B283" s="64" t="s">
        <v>399</v>
      </c>
      <c r="C283" s="65">
        <v>1</v>
      </c>
      <c r="D283" s="64">
        <v>260</v>
      </c>
      <c r="E283" s="66"/>
      <c r="F283" s="66"/>
      <c r="G283" s="66"/>
      <c r="H283" s="66"/>
      <c r="I283" s="1">
        <f t="shared" si="6"/>
        <v>1</v>
      </c>
    </row>
    <row r="284" spans="1:9" x14ac:dyDescent="0.25">
      <c r="A284" s="64">
        <v>80830420</v>
      </c>
      <c r="B284" s="64" t="s">
        <v>400</v>
      </c>
      <c r="C284" s="65">
        <v>1</v>
      </c>
      <c r="D284" s="64">
        <v>209.82</v>
      </c>
      <c r="E284" s="66"/>
      <c r="F284" s="66"/>
      <c r="G284" s="66"/>
      <c r="H284" s="66"/>
      <c r="I284" s="1">
        <f t="shared" si="6"/>
        <v>1</v>
      </c>
    </row>
    <row r="285" spans="1:9" x14ac:dyDescent="0.25">
      <c r="A285" s="64">
        <v>83921920</v>
      </c>
      <c r="B285" s="64" t="s">
        <v>344</v>
      </c>
      <c r="C285" s="65">
        <v>3</v>
      </c>
      <c r="D285" s="64">
        <v>875.01</v>
      </c>
      <c r="E285" s="66"/>
      <c r="F285" s="66"/>
      <c r="G285" s="66"/>
      <c r="H285" s="66"/>
      <c r="I285" s="1">
        <f t="shared" si="6"/>
        <v>3</v>
      </c>
    </row>
    <row r="286" spans="1:9" x14ac:dyDescent="0.25">
      <c r="A286" s="64">
        <v>80887983</v>
      </c>
      <c r="B286" s="64" t="s">
        <v>345</v>
      </c>
      <c r="C286" s="65">
        <v>1</v>
      </c>
      <c r="D286" s="64">
        <v>466.67</v>
      </c>
      <c r="E286" s="66"/>
      <c r="F286" s="66"/>
      <c r="G286" s="66"/>
      <c r="H286" s="66"/>
      <c r="I286" s="1">
        <f t="shared" si="6"/>
        <v>1</v>
      </c>
    </row>
    <row r="287" spans="1:9" x14ac:dyDescent="0.25">
      <c r="A287" s="64">
        <v>83921921</v>
      </c>
      <c r="B287" s="64" t="s">
        <v>346</v>
      </c>
      <c r="C287" s="65">
        <v>10</v>
      </c>
      <c r="D287" s="64">
        <v>2916.7000000000003</v>
      </c>
      <c r="E287" s="66"/>
      <c r="F287" s="66"/>
      <c r="G287" s="66"/>
      <c r="H287" s="66"/>
      <c r="I287" s="1">
        <f t="shared" si="6"/>
        <v>10</v>
      </c>
    </row>
    <row r="288" spans="1:9" x14ac:dyDescent="0.25">
      <c r="A288" s="64">
        <v>83918762</v>
      </c>
      <c r="B288" s="64" t="s">
        <v>347</v>
      </c>
      <c r="C288" s="65">
        <v>3</v>
      </c>
      <c r="D288" s="64">
        <v>1522.5</v>
      </c>
      <c r="E288" s="66"/>
      <c r="F288" s="66"/>
      <c r="G288" s="66"/>
      <c r="H288" s="66"/>
      <c r="I288" s="1">
        <f t="shared" si="6"/>
        <v>3</v>
      </c>
    </row>
    <row r="289" spans="1:9" x14ac:dyDescent="0.25">
      <c r="A289" s="64">
        <v>83921924</v>
      </c>
      <c r="B289" s="64" t="s">
        <v>348</v>
      </c>
      <c r="C289" s="65">
        <v>13</v>
      </c>
      <c r="D289" s="64">
        <v>3791.71</v>
      </c>
      <c r="E289" s="66"/>
      <c r="F289" s="66"/>
      <c r="G289" s="66">
        <v>1</v>
      </c>
      <c r="H289" s="66">
        <v>1</v>
      </c>
      <c r="I289" s="1">
        <f t="shared" si="6"/>
        <v>12</v>
      </c>
    </row>
    <row r="290" spans="1:9" x14ac:dyDescent="0.25">
      <c r="A290" s="64">
        <v>83921923</v>
      </c>
      <c r="B290" s="64" t="s">
        <v>349</v>
      </c>
      <c r="C290" s="65">
        <v>15</v>
      </c>
      <c r="D290" s="64">
        <v>4375.05</v>
      </c>
      <c r="E290" s="66"/>
      <c r="F290" s="66"/>
      <c r="G290" s="66"/>
      <c r="H290" s="66"/>
      <c r="I290" s="1">
        <f t="shared" si="6"/>
        <v>15</v>
      </c>
    </row>
    <row r="291" spans="1:9" x14ac:dyDescent="0.25">
      <c r="A291" s="64">
        <v>80887692</v>
      </c>
      <c r="B291" s="64" t="s">
        <v>350</v>
      </c>
      <c r="C291" s="65">
        <v>1</v>
      </c>
      <c r="D291" s="64">
        <v>304.33999999999997</v>
      </c>
      <c r="E291" s="66"/>
      <c r="F291" s="66"/>
      <c r="G291" s="66"/>
      <c r="H291" s="66"/>
      <c r="I291" s="1">
        <f t="shared" si="6"/>
        <v>1</v>
      </c>
    </row>
    <row r="292" spans="1:9" x14ac:dyDescent="0.25">
      <c r="A292" s="64">
        <v>83912172</v>
      </c>
      <c r="B292" s="64" t="s">
        <v>353</v>
      </c>
      <c r="C292" s="65">
        <v>12</v>
      </c>
      <c r="D292" s="64">
        <v>930</v>
      </c>
      <c r="E292" s="66"/>
      <c r="F292" s="66"/>
      <c r="G292" s="66"/>
      <c r="H292" s="66"/>
      <c r="I292" s="1">
        <f t="shared" si="6"/>
        <v>12</v>
      </c>
    </row>
    <row r="293" spans="1:9" x14ac:dyDescent="0.25">
      <c r="A293" s="64">
        <v>83912164</v>
      </c>
      <c r="B293" s="64" t="s">
        <v>355</v>
      </c>
      <c r="C293" s="65">
        <v>21</v>
      </c>
      <c r="D293" s="64">
        <v>1715.07</v>
      </c>
      <c r="E293" s="66"/>
      <c r="F293" s="66"/>
      <c r="G293" s="66"/>
      <c r="H293" s="66"/>
      <c r="I293" s="1">
        <f t="shared" si="6"/>
        <v>21</v>
      </c>
    </row>
    <row r="294" spans="1:9" x14ac:dyDescent="0.25">
      <c r="A294" s="64">
        <v>83918758</v>
      </c>
      <c r="B294" s="64" t="s">
        <v>356</v>
      </c>
      <c r="C294" s="65">
        <v>24</v>
      </c>
      <c r="D294" s="64">
        <v>1900.08</v>
      </c>
      <c r="E294" s="67" t="s">
        <v>327</v>
      </c>
      <c r="F294" s="66"/>
      <c r="G294" s="66">
        <v>1</v>
      </c>
      <c r="H294" s="66">
        <v>3</v>
      </c>
      <c r="I294" s="1">
        <f t="shared" si="6"/>
        <v>21</v>
      </c>
    </row>
    <row r="295" spans="1:9" x14ac:dyDescent="0.25">
      <c r="A295" s="64">
        <v>83918759</v>
      </c>
      <c r="B295" s="64" t="s">
        <v>357</v>
      </c>
      <c r="C295" s="65">
        <v>141</v>
      </c>
      <c r="D295" s="64">
        <v>11162.97</v>
      </c>
      <c r="E295" s="66"/>
      <c r="F295" s="66"/>
      <c r="G295" s="66"/>
      <c r="H295" s="66"/>
      <c r="I295" s="1">
        <f t="shared" si="6"/>
        <v>141</v>
      </c>
    </row>
    <row r="296" spans="1:9" x14ac:dyDescent="0.25">
      <c r="A296" s="64">
        <v>80895517</v>
      </c>
      <c r="B296" s="64" t="s">
        <v>358</v>
      </c>
      <c r="C296" s="65">
        <v>24</v>
      </c>
      <c r="D296" s="64">
        <v>2340</v>
      </c>
      <c r="E296" s="66"/>
      <c r="F296" s="66"/>
      <c r="G296" s="66"/>
      <c r="H296" s="66"/>
      <c r="I296" s="1">
        <f t="shared" si="6"/>
        <v>24</v>
      </c>
    </row>
    <row r="297" spans="1:9" x14ac:dyDescent="0.25">
      <c r="A297" s="64">
        <v>83918765</v>
      </c>
      <c r="B297" s="64" t="s">
        <v>359</v>
      </c>
      <c r="C297" s="65">
        <v>79</v>
      </c>
      <c r="D297" s="64">
        <v>40092.5</v>
      </c>
      <c r="E297" s="67" t="s">
        <v>330</v>
      </c>
      <c r="F297" s="66"/>
      <c r="G297" s="66">
        <v>2</v>
      </c>
      <c r="H297" s="66">
        <v>2</v>
      </c>
      <c r="I297" s="1">
        <f t="shared" si="6"/>
        <v>77</v>
      </c>
    </row>
    <row r="298" spans="1:9" x14ac:dyDescent="0.25">
      <c r="A298" s="64">
        <v>83912166</v>
      </c>
      <c r="B298" s="64" t="s">
        <v>360</v>
      </c>
      <c r="C298" s="65">
        <v>39</v>
      </c>
      <c r="D298" s="64">
        <v>3185.13</v>
      </c>
      <c r="E298" s="66"/>
      <c r="F298" s="66"/>
      <c r="G298" s="66"/>
      <c r="H298" s="66"/>
      <c r="I298" s="1">
        <f t="shared" si="6"/>
        <v>39</v>
      </c>
    </row>
    <row r="299" spans="1:9" x14ac:dyDescent="0.25">
      <c r="A299" s="64">
        <v>83933413</v>
      </c>
      <c r="B299" s="64" t="s">
        <v>361</v>
      </c>
      <c r="C299" s="65">
        <v>14</v>
      </c>
      <c r="D299" s="64">
        <v>4857.4399999999996</v>
      </c>
      <c r="E299" s="66"/>
      <c r="F299" s="66"/>
      <c r="G299" s="66"/>
      <c r="H299" s="66"/>
      <c r="I299" s="1">
        <f t="shared" si="6"/>
        <v>14</v>
      </c>
    </row>
    <row r="300" spans="1:9" x14ac:dyDescent="0.25">
      <c r="A300" s="64">
        <v>80879273</v>
      </c>
      <c r="B300" s="64" t="s">
        <v>362</v>
      </c>
      <c r="C300" s="65">
        <v>27</v>
      </c>
      <c r="D300" s="64">
        <v>2025</v>
      </c>
      <c r="E300" s="66"/>
      <c r="F300" s="66"/>
      <c r="G300" s="66"/>
      <c r="H300" s="66"/>
      <c r="I300" s="1">
        <f t="shared" si="6"/>
        <v>27</v>
      </c>
    </row>
    <row r="301" spans="1:9" x14ac:dyDescent="0.25">
      <c r="A301" s="64">
        <v>80879269</v>
      </c>
      <c r="B301" s="64" t="s">
        <v>363</v>
      </c>
      <c r="C301" s="65">
        <v>6</v>
      </c>
      <c r="D301" s="64">
        <v>409.08000000000004</v>
      </c>
      <c r="E301" s="66"/>
      <c r="F301" s="66"/>
      <c r="G301" s="66"/>
      <c r="H301" s="66"/>
      <c r="I301" s="1">
        <f t="shared" si="6"/>
        <v>6</v>
      </c>
    </row>
    <row r="302" spans="1:9" x14ac:dyDescent="0.25">
      <c r="A302" s="64">
        <v>80830097</v>
      </c>
      <c r="B302" s="64" t="s">
        <v>238</v>
      </c>
      <c r="C302" s="65">
        <v>3</v>
      </c>
      <c r="D302" s="64">
        <v>756.51</v>
      </c>
      <c r="E302" s="66"/>
      <c r="F302" s="66"/>
      <c r="G302" s="66"/>
      <c r="H302" s="66"/>
      <c r="I302" s="1">
        <f t="shared" si="6"/>
        <v>3</v>
      </c>
    </row>
    <row r="303" spans="1:9" x14ac:dyDescent="0.25">
      <c r="A303" s="64">
        <v>80895630</v>
      </c>
      <c r="B303" s="64" t="s">
        <v>366</v>
      </c>
      <c r="C303" s="65">
        <v>3</v>
      </c>
      <c r="D303" s="64">
        <v>125.16</v>
      </c>
      <c r="E303" s="66"/>
      <c r="F303" s="66"/>
      <c r="G303" s="66"/>
      <c r="H303" s="66"/>
      <c r="I303" s="1">
        <f t="shared" si="6"/>
        <v>3</v>
      </c>
    </row>
    <row r="304" spans="1:9" x14ac:dyDescent="0.25">
      <c r="A304" s="64">
        <v>83916219</v>
      </c>
      <c r="B304" s="64" t="s">
        <v>390</v>
      </c>
      <c r="C304" s="65">
        <v>2</v>
      </c>
      <c r="D304" s="64">
        <v>181.9</v>
      </c>
      <c r="E304" s="66"/>
      <c r="F304" s="66"/>
      <c r="G304" s="66"/>
      <c r="H304" s="66"/>
      <c r="I304" s="1">
        <f t="shared" si="6"/>
        <v>2</v>
      </c>
    </row>
    <row r="305" spans="1:9" x14ac:dyDescent="0.25">
      <c r="A305" s="64">
        <v>80870358</v>
      </c>
      <c r="B305" s="64" t="s">
        <v>368</v>
      </c>
      <c r="C305" s="65">
        <v>11</v>
      </c>
      <c r="D305" s="64">
        <v>2777.83</v>
      </c>
      <c r="E305" s="66"/>
      <c r="F305" s="66"/>
      <c r="G305" s="66"/>
      <c r="H305" s="66"/>
      <c r="I305" s="1">
        <f t="shared" si="6"/>
        <v>11</v>
      </c>
    </row>
    <row r="306" spans="1:9" x14ac:dyDescent="0.25">
      <c r="A306" s="64">
        <v>80869896</v>
      </c>
      <c r="B306" s="64" t="s">
        <v>369</v>
      </c>
      <c r="C306" s="65">
        <v>63</v>
      </c>
      <c r="D306" s="64">
        <v>3121.6499999999996</v>
      </c>
      <c r="E306" s="67" t="s">
        <v>327</v>
      </c>
      <c r="F306" s="66"/>
      <c r="G306" s="66">
        <v>1</v>
      </c>
      <c r="H306" s="66">
        <v>3</v>
      </c>
      <c r="I306" s="1">
        <f t="shared" si="6"/>
        <v>60</v>
      </c>
    </row>
    <row r="307" spans="1:9" x14ac:dyDescent="0.25">
      <c r="A307" s="64">
        <v>83911635</v>
      </c>
      <c r="B307" s="64" t="s">
        <v>371</v>
      </c>
      <c r="C307" s="65">
        <v>80</v>
      </c>
      <c r="D307" s="64">
        <v>3603.2</v>
      </c>
      <c r="E307" s="66"/>
      <c r="F307" s="66"/>
      <c r="G307" s="66"/>
      <c r="H307" s="66"/>
      <c r="I307" s="1">
        <f t="shared" si="6"/>
        <v>80</v>
      </c>
    </row>
    <row r="308" spans="1:9" x14ac:dyDescent="0.25">
      <c r="A308" s="64">
        <v>83911777</v>
      </c>
      <c r="B308" s="64" t="s">
        <v>372</v>
      </c>
      <c r="C308" s="65">
        <v>28</v>
      </c>
      <c r="D308" s="64">
        <v>1008.84</v>
      </c>
      <c r="E308" s="66"/>
      <c r="F308" s="66"/>
      <c r="G308" s="66"/>
      <c r="H308" s="66"/>
      <c r="I308" s="1">
        <f t="shared" si="6"/>
        <v>28</v>
      </c>
    </row>
    <row r="309" spans="1:9" x14ac:dyDescent="0.25">
      <c r="A309" s="64">
        <v>83911783</v>
      </c>
      <c r="B309" s="64" t="s">
        <v>373</v>
      </c>
      <c r="C309" s="65">
        <v>40</v>
      </c>
      <c r="D309" s="64">
        <v>1621.6</v>
      </c>
      <c r="E309" s="66"/>
      <c r="F309" s="66"/>
      <c r="G309" s="66"/>
      <c r="H309" s="66"/>
      <c r="I309" s="1">
        <f t="shared" si="6"/>
        <v>40</v>
      </c>
    </row>
    <row r="310" spans="1:9" x14ac:dyDescent="0.25">
      <c r="A310" s="64">
        <v>80870015</v>
      </c>
      <c r="B310" s="64" t="s">
        <v>375</v>
      </c>
      <c r="C310" s="65">
        <v>1</v>
      </c>
      <c r="D310" s="64">
        <v>153.5</v>
      </c>
      <c r="E310" s="66"/>
      <c r="F310" s="66"/>
      <c r="G310" s="66"/>
      <c r="H310" s="66"/>
      <c r="I310" s="1">
        <f t="shared" si="6"/>
        <v>1</v>
      </c>
    </row>
    <row r="311" spans="1:9" x14ac:dyDescent="0.25">
      <c r="A311" s="64">
        <v>80870357</v>
      </c>
      <c r="B311" s="64" t="s">
        <v>376</v>
      </c>
      <c r="C311" s="65">
        <v>13</v>
      </c>
      <c r="D311" s="64">
        <v>3020.16</v>
      </c>
      <c r="E311" s="66"/>
      <c r="F311" s="66"/>
      <c r="G311" s="66"/>
      <c r="H311" s="66"/>
      <c r="I311" s="1">
        <f t="shared" si="6"/>
        <v>13</v>
      </c>
    </row>
    <row r="312" spans="1:9" x14ac:dyDescent="0.25">
      <c r="A312" s="64">
        <v>80887674</v>
      </c>
      <c r="B312" s="64" t="s">
        <v>378</v>
      </c>
      <c r="C312" s="65">
        <v>4</v>
      </c>
      <c r="D312" s="64">
        <v>526.32000000000005</v>
      </c>
      <c r="E312" s="66"/>
      <c r="F312" s="66"/>
      <c r="G312" s="66"/>
      <c r="H312" s="66"/>
      <c r="I312" s="1">
        <f t="shared" si="6"/>
        <v>4</v>
      </c>
    </row>
    <row r="313" spans="1:9" x14ac:dyDescent="0.25">
      <c r="A313" s="64">
        <v>80893410</v>
      </c>
      <c r="B313" s="64" t="s">
        <v>380</v>
      </c>
      <c r="C313" s="65">
        <v>27</v>
      </c>
      <c r="D313" s="64">
        <v>2408.13</v>
      </c>
      <c r="E313" s="66"/>
      <c r="F313" s="66"/>
      <c r="G313" s="66">
        <v>1</v>
      </c>
      <c r="H313" s="66">
        <v>3</v>
      </c>
      <c r="I313" s="1">
        <f t="shared" si="6"/>
        <v>24</v>
      </c>
    </row>
    <row r="314" spans="1:9" x14ac:dyDescent="0.25">
      <c r="A314" s="64">
        <v>83904003</v>
      </c>
      <c r="B314" s="64" t="s">
        <v>305</v>
      </c>
      <c r="C314" s="65">
        <v>18</v>
      </c>
      <c r="D314" s="66">
        <v>1983.6000000000001</v>
      </c>
      <c r="E314" s="66" t="s">
        <v>320</v>
      </c>
      <c r="F314" s="66"/>
      <c r="G314" s="66">
        <v>1</v>
      </c>
      <c r="H314" s="66">
        <v>2</v>
      </c>
      <c r="I314" s="1">
        <f t="shared" si="6"/>
        <v>16</v>
      </c>
    </row>
    <row r="315" spans="1:9" x14ac:dyDescent="0.25">
      <c r="A315" s="64">
        <v>80866726</v>
      </c>
      <c r="B315" s="64" t="s">
        <v>307</v>
      </c>
      <c r="C315" s="65">
        <v>3</v>
      </c>
      <c r="D315" s="66">
        <v>254.49</v>
      </c>
      <c r="E315" s="66"/>
      <c r="F315" s="66"/>
      <c r="G315" s="66"/>
      <c r="H315" s="66"/>
      <c r="I315" s="1">
        <f t="shared" si="6"/>
        <v>3</v>
      </c>
    </row>
    <row r="316" spans="1:9" x14ac:dyDescent="0.25">
      <c r="A316" s="64">
        <v>80797470</v>
      </c>
      <c r="B316" s="64" t="s">
        <v>309</v>
      </c>
      <c r="C316" s="65">
        <v>1</v>
      </c>
      <c r="D316" s="66">
        <v>379.46</v>
      </c>
      <c r="E316" s="66"/>
      <c r="F316" s="66"/>
      <c r="G316" s="66"/>
      <c r="H316" s="66"/>
      <c r="I316" s="1">
        <f t="shared" si="6"/>
        <v>1</v>
      </c>
    </row>
    <row r="317" spans="1:9" x14ac:dyDescent="0.25">
      <c r="A317" s="64">
        <v>80896468</v>
      </c>
      <c r="B317" s="64" t="s">
        <v>311</v>
      </c>
      <c r="C317" s="65">
        <v>9</v>
      </c>
      <c r="D317" s="66">
        <v>446.40000000000003</v>
      </c>
      <c r="E317" s="66"/>
      <c r="F317" s="66"/>
      <c r="G317" s="66"/>
      <c r="H317" s="66"/>
      <c r="I317" s="1">
        <f t="shared" si="6"/>
        <v>9</v>
      </c>
    </row>
    <row r="318" spans="1:9" x14ac:dyDescent="0.25">
      <c r="A318" s="64">
        <v>80876082</v>
      </c>
      <c r="B318" s="64" t="s">
        <v>312</v>
      </c>
      <c r="C318" s="65">
        <v>3</v>
      </c>
      <c r="D318" s="66">
        <v>934.80000000000007</v>
      </c>
      <c r="E318" s="66"/>
      <c r="F318" s="66"/>
      <c r="G318" s="66"/>
      <c r="H318" s="66"/>
      <c r="I318" s="1">
        <f t="shared" si="6"/>
        <v>3</v>
      </c>
    </row>
    <row r="319" spans="1:9" x14ac:dyDescent="0.25">
      <c r="A319" s="64">
        <v>80803710</v>
      </c>
      <c r="B319" s="64" t="s">
        <v>313</v>
      </c>
      <c r="C319" s="65">
        <v>1</v>
      </c>
      <c r="D319" s="66">
        <v>311.60000000000002</v>
      </c>
      <c r="E319" s="66"/>
      <c r="F319" s="66"/>
      <c r="G319" s="66"/>
      <c r="H319" s="66"/>
      <c r="I319" s="1">
        <f t="shared" si="6"/>
        <v>1</v>
      </c>
    </row>
    <row r="320" spans="1:9" x14ac:dyDescent="0.25">
      <c r="A320" s="64">
        <v>80753180</v>
      </c>
      <c r="B320" s="64" t="s">
        <v>401</v>
      </c>
      <c r="C320" s="65">
        <v>3</v>
      </c>
      <c r="D320" s="66">
        <v>265.17</v>
      </c>
      <c r="E320" s="66"/>
      <c r="F320" s="66"/>
      <c r="G320" s="66"/>
      <c r="H320" s="66"/>
      <c r="I320" s="1">
        <f t="shared" si="6"/>
        <v>3</v>
      </c>
    </row>
    <row r="321" spans="1:9" x14ac:dyDescent="0.25">
      <c r="A321" s="64">
        <v>80862828</v>
      </c>
      <c r="B321" s="64" t="s">
        <v>314</v>
      </c>
      <c r="C321" s="65">
        <v>3</v>
      </c>
      <c r="D321" s="66">
        <v>190.2</v>
      </c>
      <c r="E321" s="66"/>
      <c r="F321" s="66"/>
      <c r="G321" s="66"/>
      <c r="H321" s="66"/>
      <c r="I321" s="1">
        <f t="shared" si="6"/>
        <v>3</v>
      </c>
    </row>
    <row r="322" spans="1:9" x14ac:dyDescent="0.25">
      <c r="A322" s="64">
        <v>80866723</v>
      </c>
      <c r="B322" s="64" t="s">
        <v>317</v>
      </c>
      <c r="C322" s="65">
        <v>12</v>
      </c>
      <c r="D322" s="66">
        <v>3107.04</v>
      </c>
      <c r="E322" s="66"/>
      <c r="F322" s="66"/>
      <c r="G322" s="66"/>
      <c r="H322" s="66"/>
      <c r="I322" s="1">
        <f t="shared" ref="I322:I385" si="7">C322-H322</f>
        <v>12</v>
      </c>
    </row>
    <row r="323" spans="1:9" x14ac:dyDescent="0.25">
      <c r="A323" s="64">
        <v>80866729</v>
      </c>
      <c r="B323" s="64" t="s">
        <v>318</v>
      </c>
      <c r="C323" s="65">
        <v>24</v>
      </c>
      <c r="D323" s="66">
        <v>6214.08</v>
      </c>
      <c r="E323" s="66"/>
      <c r="F323" s="66"/>
      <c r="G323" s="66"/>
      <c r="H323" s="66"/>
      <c r="I323" s="1">
        <f t="shared" si="7"/>
        <v>24</v>
      </c>
    </row>
    <row r="324" spans="1:9" x14ac:dyDescent="0.25">
      <c r="A324" s="64">
        <v>80875507</v>
      </c>
      <c r="B324" s="64" t="s">
        <v>319</v>
      </c>
      <c r="C324" s="65">
        <v>4</v>
      </c>
      <c r="D324" s="66">
        <v>374.96</v>
      </c>
      <c r="E324" s="66"/>
      <c r="F324" s="66"/>
      <c r="G324" s="66"/>
      <c r="H324" s="66"/>
      <c r="I324" s="1">
        <f t="shared" si="7"/>
        <v>4</v>
      </c>
    </row>
    <row r="325" spans="1:9" x14ac:dyDescent="0.25">
      <c r="A325" s="64">
        <v>80864300</v>
      </c>
      <c r="B325" s="64" t="s">
        <v>321</v>
      </c>
      <c r="C325" s="65">
        <v>2</v>
      </c>
      <c r="D325" s="66">
        <v>173.1</v>
      </c>
      <c r="E325" s="66"/>
      <c r="F325" s="66"/>
      <c r="G325" s="66"/>
      <c r="H325" s="66"/>
      <c r="I325" s="1">
        <f t="shared" si="7"/>
        <v>2</v>
      </c>
    </row>
    <row r="326" spans="1:9" x14ac:dyDescent="0.25">
      <c r="A326" s="64">
        <v>80818346</v>
      </c>
      <c r="B326" s="64" t="s">
        <v>403</v>
      </c>
      <c r="C326" s="65">
        <v>2</v>
      </c>
      <c r="D326" s="66">
        <v>491.08</v>
      </c>
      <c r="E326" s="66"/>
      <c r="F326" s="66"/>
      <c r="G326" s="66"/>
      <c r="H326" s="66"/>
      <c r="I326" s="1">
        <f t="shared" si="7"/>
        <v>2</v>
      </c>
    </row>
    <row r="327" spans="1:9" x14ac:dyDescent="0.25">
      <c r="A327" s="64">
        <v>80818341</v>
      </c>
      <c r="B327" s="64" t="s">
        <v>383</v>
      </c>
      <c r="C327" s="65">
        <v>1</v>
      </c>
      <c r="D327" s="66">
        <v>156.26</v>
      </c>
      <c r="E327" s="66"/>
      <c r="F327" s="66"/>
      <c r="G327" s="66"/>
      <c r="H327" s="66"/>
      <c r="I327" s="1">
        <f t="shared" si="7"/>
        <v>1</v>
      </c>
    </row>
    <row r="328" spans="1:9" x14ac:dyDescent="0.25">
      <c r="A328" s="64">
        <v>80875513</v>
      </c>
      <c r="B328" s="64" t="s">
        <v>322</v>
      </c>
      <c r="C328" s="65">
        <v>11</v>
      </c>
      <c r="D328" s="66">
        <v>1688.5</v>
      </c>
      <c r="E328" s="66"/>
      <c r="F328" s="66"/>
      <c r="G328" s="66"/>
      <c r="H328" s="66"/>
      <c r="I328" s="1">
        <f t="shared" si="7"/>
        <v>11</v>
      </c>
    </row>
    <row r="329" spans="1:9" x14ac:dyDescent="0.25">
      <c r="A329" s="64">
        <v>80840354</v>
      </c>
      <c r="B329" s="64" t="s">
        <v>323</v>
      </c>
      <c r="C329" s="65">
        <v>4</v>
      </c>
      <c r="D329" s="66">
        <v>1315.8</v>
      </c>
      <c r="E329" s="66"/>
      <c r="F329" s="66"/>
      <c r="G329" s="66"/>
      <c r="H329" s="66"/>
      <c r="I329" s="1">
        <f t="shared" si="7"/>
        <v>4</v>
      </c>
    </row>
    <row r="330" spans="1:9" x14ac:dyDescent="0.25">
      <c r="A330" s="64">
        <v>80840352</v>
      </c>
      <c r="B330" s="64" t="s">
        <v>324</v>
      </c>
      <c r="C330" s="65">
        <v>3</v>
      </c>
      <c r="D330" s="66">
        <v>1250.01</v>
      </c>
      <c r="E330" s="66"/>
      <c r="F330" s="66"/>
      <c r="G330" s="66"/>
      <c r="H330" s="66"/>
      <c r="I330" s="1">
        <f t="shared" si="7"/>
        <v>3</v>
      </c>
    </row>
    <row r="331" spans="1:9" x14ac:dyDescent="0.25">
      <c r="A331" s="64">
        <v>80864297</v>
      </c>
      <c r="B331" s="64" t="s">
        <v>326</v>
      </c>
      <c r="C331" s="65">
        <v>136</v>
      </c>
      <c r="D331" s="66">
        <v>20876</v>
      </c>
      <c r="E331" s="66" t="s">
        <v>330</v>
      </c>
      <c r="F331" s="66"/>
      <c r="G331" s="66">
        <v>1</v>
      </c>
      <c r="H331" s="66">
        <v>1</v>
      </c>
      <c r="I331" s="1">
        <f t="shared" si="7"/>
        <v>135</v>
      </c>
    </row>
    <row r="332" spans="1:9" x14ac:dyDescent="0.25">
      <c r="A332" s="64">
        <v>80832389</v>
      </c>
      <c r="B332" s="64" t="s">
        <v>328</v>
      </c>
      <c r="C332" s="65">
        <v>2</v>
      </c>
      <c r="D332" s="66">
        <v>657.9</v>
      </c>
      <c r="E332" s="66"/>
      <c r="F332" s="66"/>
      <c r="G332" s="66"/>
      <c r="H332" s="66"/>
      <c r="I332" s="1">
        <f t="shared" si="7"/>
        <v>2</v>
      </c>
    </row>
    <row r="333" spans="1:9" x14ac:dyDescent="0.25">
      <c r="A333" s="64">
        <v>80832398</v>
      </c>
      <c r="B333" s="64" t="s">
        <v>329</v>
      </c>
      <c r="C333" s="65">
        <v>7</v>
      </c>
      <c r="D333" s="66">
        <v>1995.6299999999999</v>
      </c>
      <c r="E333" s="66"/>
      <c r="F333" s="66"/>
      <c r="G333" s="66"/>
      <c r="H333" s="66"/>
      <c r="I333" s="1">
        <f t="shared" si="7"/>
        <v>7</v>
      </c>
    </row>
    <row r="334" spans="1:9" x14ac:dyDescent="0.25">
      <c r="A334" s="64">
        <v>83911270</v>
      </c>
      <c r="B334" s="64" t="s">
        <v>332</v>
      </c>
      <c r="C334" s="65">
        <v>24</v>
      </c>
      <c r="D334" s="66">
        <v>1723.44</v>
      </c>
      <c r="E334" s="66"/>
      <c r="F334" s="66"/>
      <c r="G334" s="66"/>
      <c r="H334" s="66"/>
      <c r="I334" s="1">
        <f t="shared" si="7"/>
        <v>24</v>
      </c>
    </row>
    <row r="335" spans="1:9" x14ac:dyDescent="0.25">
      <c r="A335" s="64">
        <v>80892904</v>
      </c>
      <c r="B335" s="64" t="s">
        <v>333</v>
      </c>
      <c r="C335" s="65">
        <v>30</v>
      </c>
      <c r="D335" s="66">
        <v>2154.3000000000002</v>
      </c>
      <c r="E335" s="66"/>
      <c r="F335" s="66"/>
      <c r="G335" s="66"/>
      <c r="H335" s="66"/>
      <c r="I335" s="1">
        <f t="shared" si="7"/>
        <v>30</v>
      </c>
    </row>
    <row r="336" spans="1:9" x14ac:dyDescent="0.25">
      <c r="A336" s="64">
        <v>83911280</v>
      </c>
      <c r="B336" s="64" t="s">
        <v>334</v>
      </c>
      <c r="C336" s="65">
        <v>15</v>
      </c>
      <c r="D336" s="66">
        <v>1077.1500000000001</v>
      </c>
      <c r="E336" s="66"/>
      <c r="F336" s="66"/>
      <c r="G336" s="66"/>
      <c r="H336" s="66"/>
      <c r="I336" s="1">
        <f t="shared" si="7"/>
        <v>15</v>
      </c>
    </row>
    <row r="337" spans="1:9" x14ac:dyDescent="0.25">
      <c r="A337" s="64">
        <v>83911268</v>
      </c>
      <c r="B337" s="64" t="s">
        <v>335</v>
      </c>
      <c r="C337" s="65">
        <v>18</v>
      </c>
      <c r="D337" s="66">
        <v>1390.8600000000001</v>
      </c>
      <c r="E337" s="66"/>
      <c r="F337" s="66"/>
      <c r="G337" s="66"/>
      <c r="H337" s="66"/>
      <c r="I337" s="1">
        <f t="shared" si="7"/>
        <v>18</v>
      </c>
    </row>
    <row r="338" spans="1:9" x14ac:dyDescent="0.25">
      <c r="A338" s="64">
        <v>83911281</v>
      </c>
      <c r="B338" s="64" t="s">
        <v>337</v>
      </c>
      <c r="C338" s="65">
        <v>12</v>
      </c>
      <c r="D338" s="66">
        <v>861.72</v>
      </c>
      <c r="E338" s="66"/>
      <c r="F338" s="66"/>
      <c r="G338" s="66"/>
      <c r="H338" s="66"/>
      <c r="I338" s="1">
        <f t="shared" si="7"/>
        <v>12</v>
      </c>
    </row>
    <row r="339" spans="1:9" x14ac:dyDescent="0.25">
      <c r="A339" s="64">
        <v>80878182</v>
      </c>
      <c r="B339" s="64" t="s">
        <v>338</v>
      </c>
      <c r="C339" s="65">
        <v>4</v>
      </c>
      <c r="D339" s="66">
        <v>379.12</v>
      </c>
      <c r="E339" s="66"/>
      <c r="F339" s="66"/>
      <c r="G339" s="66"/>
      <c r="H339" s="66"/>
      <c r="I339" s="1">
        <f t="shared" si="7"/>
        <v>4</v>
      </c>
    </row>
    <row r="340" spans="1:9" x14ac:dyDescent="0.25">
      <c r="A340" s="64">
        <v>80830411</v>
      </c>
      <c r="B340" s="64" t="s">
        <v>385</v>
      </c>
      <c r="C340" s="65">
        <v>3</v>
      </c>
      <c r="D340" s="66">
        <v>830.37000000000012</v>
      </c>
      <c r="E340" s="66"/>
      <c r="F340" s="66"/>
      <c r="G340" s="66"/>
      <c r="H340" s="66"/>
      <c r="I340" s="1">
        <f t="shared" si="7"/>
        <v>3</v>
      </c>
    </row>
    <row r="341" spans="1:9" x14ac:dyDescent="0.25">
      <c r="A341" s="64">
        <v>80895603</v>
      </c>
      <c r="B341" s="64" t="s">
        <v>340</v>
      </c>
      <c r="C341" s="65">
        <v>2</v>
      </c>
      <c r="D341" s="66">
        <v>176.68</v>
      </c>
      <c r="E341" s="66"/>
      <c r="F341" s="66"/>
      <c r="G341" s="66"/>
      <c r="H341" s="66"/>
      <c r="I341" s="1">
        <f t="shared" si="7"/>
        <v>2</v>
      </c>
    </row>
    <row r="342" spans="1:9" x14ac:dyDescent="0.25">
      <c r="A342" s="64">
        <v>80895602</v>
      </c>
      <c r="B342" s="64" t="s">
        <v>341</v>
      </c>
      <c r="C342" s="65">
        <v>2</v>
      </c>
      <c r="D342" s="66">
        <v>83.34</v>
      </c>
      <c r="E342" s="66"/>
      <c r="F342" s="66"/>
      <c r="G342" s="66"/>
      <c r="H342" s="66"/>
      <c r="I342" s="1">
        <f t="shared" si="7"/>
        <v>2</v>
      </c>
    </row>
    <row r="343" spans="1:9" x14ac:dyDescent="0.25">
      <c r="A343" s="64">
        <v>80894404</v>
      </c>
      <c r="B343" s="64" t="s">
        <v>404</v>
      </c>
      <c r="C343" s="65">
        <v>2</v>
      </c>
      <c r="D343" s="66">
        <v>180</v>
      </c>
      <c r="E343" s="66"/>
      <c r="F343" s="66"/>
      <c r="G343" s="66"/>
      <c r="H343" s="66"/>
      <c r="I343" s="1">
        <f t="shared" si="7"/>
        <v>2</v>
      </c>
    </row>
    <row r="344" spans="1:9" x14ac:dyDescent="0.25">
      <c r="A344" s="64">
        <v>80739423</v>
      </c>
      <c r="B344" s="64" t="s">
        <v>399</v>
      </c>
      <c r="C344" s="65">
        <v>1</v>
      </c>
      <c r="D344" s="66">
        <v>260</v>
      </c>
      <c r="E344" s="66"/>
      <c r="F344" s="66"/>
      <c r="G344" s="66"/>
      <c r="H344" s="66"/>
      <c r="I344" s="1">
        <f t="shared" si="7"/>
        <v>1</v>
      </c>
    </row>
    <row r="345" spans="1:9" x14ac:dyDescent="0.25">
      <c r="A345" s="64">
        <v>80895465</v>
      </c>
      <c r="B345" s="64" t="s">
        <v>343</v>
      </c>
      <c r="C345" s="65">
        <v>1</v>
      </c>
      <c r="D345" s="66">
        <v>325.22000000000003</v>
      </c>
      <c r="E345" s="66"/>
      <c r="F345" s="66"/>
      <c r="G345" s="66"/>
      <c r="H345" s="66"/>
      <c r="I345" s="1">
        <f t="shared" si="7"/>
        <v>1</v>
      </c>
    </row>
    <row r="346" spans="1:9" x14ac:dyDescent="0.25">
      <c r="A346" s="64">
        <v>83921920</v>
      </c>
      <c r="B346" s="64" t="s">
        <v>344</v>
      </c>
      <c r="C346" s="65">
        <v>3</v>
      </c>
      <c r="D346" s="66">
        <v>875.01</v>
      </c>
      <c r="E346" s="66"/>
      <c r="F346" s="66"/>
      <c r="G346" s="66"/>
      <c r="H346" s="66"/>
      <c r="I346" s="1">
        <f t="shared" si="7"/>
        <v>3</v>
      </c>
    </row>
    <row r="347" spans="1:9" x14ac:dyDescent="0.25">
      <c r="A347" s="64">
        <v>80895482</v>
      </c>
      <c r="B347" s="64" t="s">
        <v>405</v>
      </c>
      <c r="C347" s="65">
        <v>2</v>
      </c>
      <c r="D347" s="66">
        <v>812.18</v>
      </c>
      <c r="E347" s="66"/>
      <c r="F347" s="66"/>
      <c r="G347" s="66"/>
      <c r="H347" s="66"/>
      <c r="I347" s="1">
        <f t="shared" si="7"/>
        <v>2</v>
      </c>
    </row>
    <row r="348" spans="1:9" x14ac:dyDescent="0.25">
      <c r="A348" s="64">
        <v>83924708</v>
      </c>
      <c r="B348" s="64" t="s">
        <v>345</v>
      </c>
      <c r="C348" s="65">
        <v>19</v>
      </c>
      <c r="D348" s="66">
        <v>9484.0400000000009</v>
      </c>
      <c r="E348" s="66"/>
      <c r="F348" s="66"/>
      <c r="G348" s="66"/>
      <c r="H348" s="66"/>
      <c r="I348" s="1">
        <f t="shared" si="7"/>
        <v>19</v>
      </c>
    </row>
    <row r="349" spans="1:9" x14ac:dyDescent="0.25">
      <c r="A349" s="64">
        <v>83921921</v>
      </c>
      <c r="B349" s="64" t="s">
        <v>346</v>
      </c>
      <c r="C349" s="65">
        <v>11</v>
      </c>
      <c r="D349" s="66">
        <v>3208.3700000000003</v>
      </c>
      <c r="E349" s="66"/>
      <c r="F349" s="66"/>
      <c r="G349" s="66"/>
      <c r="H349" s="66"/>
      <c r="I349" s="1">
        <f t="shared" si="7"/>
        <v>11</v>
      </c>
    </row>
    <row r="350" spans="1:9" x14ac:dyDescent="0.25">
      <c r="A350" s="64">
        <v>83918762</v>
      </c>
      <c r="B350" s="64" t="s">
        <v>347</v>
      </c>
      <c r="C350" s="65">
        <v>35</v>
      </c>
      <c r="D350" s="66">
        <v>17762.5</v>
      </c>
      <c r="E350" s="66"/>
      <c r="F350" s="66"/>
      <c r="G350" s="66"/>
      <c r="H350" s="66"/>
      <c r="I350" s="1">
        <f t="shared" si="7"/>
        <v>35</v>
      </c>
    </row>
    <row r="351" spans="1:9" x14ac:dyDescent="0.25">
      <c r="A351" s="64">
        <v>83921924</v>
      </c>
      <c r="B351" s="64" t="s">
        <v>348</v>
      </c>
      <c r="C351" s="65">
        <v>5</v>
      </c>
      <c r="D351" s="66">
        <v>1458.3500000000001</v>
      </c>
      <c r="E351" s="66"/>
      <c r="F351" s="66"/>
      <c r="G351" s="66"/>
      <c r="H351" s="66"/>
      <c r="I351" s="1">
        <f t="shared" si="7"/>
        <v>5</v>
      </c>
    </row>
    <row r="352" spans="1:9" x14ac:dyDescent="0.25">
      <c r="A352" s="64">
        <v>83921923</v>
      </c>
      <c r="B352" s="64" t="s">
        <v>349</v>
      </c>
      <c r="C352" s="65">
        <v>3</v>
      </c>
      <c r="D352" s="66">
        <v>875.01</v>
      </c>
      <c r="E352" s="66"/>
      <c r="F352" s="66"/>
      <c r="G352" s="66"/>
      <c r="H352" s="66"/>
      <c r="I352" s="1">
        <f t="shared" si="7"/>
        <v>3</v>
      </c>
    </row>
    <row r="353" spans="1:9" x14ac:dyDescent="0.25">
      <c r="A353" s="64">
        <v>80887692</v>
      </c>
      <c r="B353" s="64" t="s">
        <v>350</v>
      </c>
      <c r="C353" s="65">
        <v>1</v>
      </c>
      <c r="D353" s="66">
        <v>304.33999999999997</v>
      </c>
      <c r="E353" s="66"/>
      <c r="F353" s="66"/>
      <c r="G353" s="66"/>
      <c r="H353" s="66"/>
      <c r="I353" s="1">
        <f t="shared" si="7"/>
        <v>1</v>
      </c>
    </row>
    <row r="354" spans="1:9" x14ac:dyDescent="0.25">
      <c r="A354" s="64">
        <v>80895503</v>
      </c>
      <c r="B354" s="64" t="s">
        <v>406</v>
      </c>
      <c r="C354" s="65">
        <v>3</v>
      </c>
      <c r="D354" s="66">
        <v>245.01</v>
      </c>
      <c r="E354" s="66"/>
      <c r="F354" s="66"/>
      <c r="G354" s="66"/>
      <c r="H354" s="66"/>
      <c r="I354" s="1">
        <f t="shared" si="7"/>
        <v>3</v>
      </c>
    </row>
    <row r="355" spans="1:9" x14ac:dyDescent="0.25">
      <c r="A355" s="64">
        <v>80895500</v>
      </c>
      <c r="B355" s="64" t="s">
        <v>352</v>
      </c>
      <c r="C355" s="65">
        <v>3</v>
      </c>
      <c r="D355" s="66">
        <v>232.5</v>
      </c>
      <c r="E355" s="66"/>
      <c r="F355" s="66"/>
      <c r="G355" s="66"/>
      <c r="H355" s="66"/>
      <c r="I355" s="1">
        <f t="shared" si="7"/>
        <v>3</v>
      </c>
    </row>
    <row r="356" spans="1:9" x14ac:dyDescent="0.25">
      <c r="A356" s="64">
        <v>83912172</v>
      </c>
      <c r="B356" s="64" t="s">
        <v>353</v>
      </c>
      <c r="C356" s="65">
        <v>15</v>
      </c>
      <c r="D356" s="66">
        <v>1162.5</v>
      </c>
      <c r="E356" s="66"/>
      <c r="F356" s="66"/>
      <c r="G356" s="66"/>
      <c r="H356" s="66"/>
      <c r="I356" s="1">
        <f t="shared" si="7"/>
        <v>15</v>
      </c>
    </row>
    <row r="357" spans="1:9" x14ac:dyDescent="0.25">
      <c r="A357" s="64">
        <v>80895504</v>
      </c>
      <c r="B357" s="64" t="s">
        <v>354</v>
      </c>
      <c r="C357" s="65">
        <v>2</v>
      </c>
      <c r="D357" s="66">
        <v>248.34</v>
      </c>
      <c r="E357" s="66"/>
      <c r="F357" s="66"/>
      <c r="G357" s="66"/>
      <c r="H357" s="66"/>
      <c r="I357" s="1">
        <f t="shared" si="7"/>
        <v>2</v>
      </c>
    </row>
    <row r="358" spans="1:9" x14ac:dyDescent="0.25">
      <c r="A358" s="64">
        <v>83912164</v>
      </c>
      <c r="B358" s="64" t="s">
        <v>355</v>
      </c>
      <c r="C358" s="65">
        <v>24</v>
      </c>
      <c r="D358" s="66">
        <v>1960.08</v>
      </c>
      <c r="E358" s="66"/>
      <c r="F358" s="66"/>
      <c r="G358" s="66"/>
      <c r="H358" s="66"/>
      <c r="I358" s="1">
        <f t="shared" si="7"/>
        <v>24</v>
      </c>
    </row>
    <row r="359" spans="1:9" x14ac:dyDescent="0.25">
      <c r="A359" s="64">
        <v>83918758</v>
      </c>
      <c r="B359" s="64" t="s">
        <v>356</v>
      </c>
      <c r="C359" s="65">
        <v>12</v>
      </c>
      <c r="D359" s="66">
        <v>950.04</v>
      </c>
      <c r="E359" s="66"/>
      <c r="F359" s="66"/>
      <c r="G359" s="66"/>
      <c r="H359" s="66"/>
      <c r="I359" s="1">
        <f t="shared" si="7"/>
        <v>12</v>
      </c>
    </row>
    <row r="360" spans="1:9" x14ac:dyDescent="0.25">
      <c r="A360" s="64">
        <v>83918759</v>
      </c>
      <c r="B360" s="64" t="s">
        <v>357</v>
      </c>
      <c r="C360" s="65">
        <v>54</v>
      </c>
      <c r="D360" s="66">
        <v>4275.18</v>
      </c>
      <c r="E360" s="66"/>
      <c r="F360" s="66"/>
      <c r="G360" s="66"/>
      <c r="H360" s="66"/>
      <c r="I360" s="1">
        <f t="shared" si="7"/>
        <v>54</v>
      </c>
    </row>
    <row r="361" spans="1:9" x14ac:dyDescent="0.25">
      <c r="A361" s="64">
        <v>80895517</v>
      </c>
      <c r="B361" s="64" t="s">
        <v>358</v>
      </c>
      <c r="C361" s="65">
        <v>18</v>
      </c>
      <c r="D361" s="66">
        <v>1755</v>
      </c>
      <c r="E361" s="66"/>
      <c r="F361" s="66"/>
      <c r="G361" s="66"/>
      <c r="H361" s="66"/>
      <c r="I361" s="1">
        <f t="shared" si="7"/>
        <v>18</v>
      </c>
    </row>
    <row r="362" spans="1:9" x14ac:dyDescent="0.25">
      <c r="A362" s="64">
        <v>83918765</v>
      </c>
      <c r="B362" s="64" t="s">
        <v>359</v>
      </c>
      <c r="C362" s="65">
        <v>94</v>
      </c>
      <c r="D362" s="66">
        <v>47705</v>
      </c>
      <c r="E362" s="66"/>
      <c r="F362" s="66"/>
      <c r="G362" s="66"/>
      <c r="H362" s="66"/>
      <c r="I362" s="1">
        <f t="shared" si="7"/>
        <v>94</v>
      </c>
    </row>
    <row r="363" spans="1:9" x14ac:dyDescent="0.25">
      <c r="A363" s="64">
        <v>83912166</v>
      </c>
      <c r="B363" s="64" t="s">
        <v>360</v>
      </c>
      <c r="C363" s="65">
        <v>36</v>
      </c>
      <c r="D363" s="66">
        <v>2940.12</v>
      </c>
      <c r="E363" s="66"/>
      <c r="F363" s="66"/>
      <c r="G363" s="66"/>
      <c r="H363" s="66"/>
      <c r="I363" s="1">
        <f t="shared" si="7"/>
        <v>36</v>
      </c>
    </row>
    <row r="364" spans="1:9" x14ac:dyDescent="0.25">
      <c r="A364" s="64">
        <v>83933413</v>
      </c>
      <c r="B364" s="64" t="s">
        <v>361</v>
      </c>
      <c r="C364" s="65">
        <v>46</v>
      </c>
      <c r="D364" s="66">
        <v>15960.16</v>
      </c>
      <c r="E364" s="66"/>
      <c r="F364" s="66"/>
      <c r="G364" s="66"/>
      <c r="H364" s="66"/>
      <c r="I364" s="1">
        <f t="shared" si="7"/>
        <v>46</v>
      </c>
    </row>
    <row r="365" spans="1:9" x14ac:dyDescent="0.25">
      <c r="A365" s="64">
        <v>80879273</v>
      </c>
      <c r="B365" s="64" t="s">
        <v>362</v>
      </c>
      <c r="C365" s="65">
        <v>15</v>
      </c>
      <c r="D365" s="66">
        <v>1125</v>
      </c>
      <c r="E365" s="66"/>
      <c r="F365" s="66"/>
      <c r="G365" s="66"/>
      <c r="H365" s="66"/>
      <c r="I365" s="1">
        <f t="shared" si="7"/>
        <v>15</v>
      </c>
    </row>
    <row r="366" spans="1:9" x14ac:dyDescent="0.25">
      <c r="A366" s="64">
        <v>80879269</v>
      </c>
      <c r="B366" s="64" t="s">
        <v>363</v>
      </c>
      <c r="C366" s="65">
        <v>3</v>
      </c>
      <c r="D366" s="66">
        <v>204.54000000000002</v>
      </c>
      <c r="E366" s="66"/>
      <c r="F366" s="66"/>
      <c r="G366" s="66"/>
      <c r="H366" s="66"/>
      <c r="I366" s="1">
        <f t="shared" si="7"/>
        <v>3</v>
      </c>
    </row>
    <row r="367" spans="1:9" x14ac:dyDescent="0.25">
      <c r="A367" s="64">
        <v>80885888</v>
      </c>
      <c r="B367" s="64" t="s">
        <v>407</v>
      </c>
      <c r="C367" s="65">
        <v>9</v>
      </c>
      <c r="D367" s="66">
        <v>480.68999999999994</v>
      </c>
      <c r="E367" s="66"/>
      <c r="F367" s="66"/>
      <c r="G367" s="66"/>
      <c r="H367" s="66"/>
      <c r="I367" s="1">
        <f t="shared" si="7"/>
        <v>9</v>
      </c>
    </row>
    <row r="368" spans="1:9" x14ac:dyDescent="0.25">
      <c r="A368" s="64">
        <v>83916219</v>
      </c>
      <c r="B368" s="64" t="s">
        <v>390</v>
      </c>
      <c r="C368" s="65">
        <v>4</v>
      </c>
      <c r="D368" s="66">
        <v>363.8</v>
      </c>
      <c r="E368" s="66"/>
      <c r="F368" s="66"/>
      <c r="G368" s="66"/>
      <c r="H368" s="66"/>
      <c r="I368" s="1">
        <f t="shared" si="7"/>
        <v>4</v>
      </c>
    </row>
    <row r="369" spans="1:9" x14ac:dyDescent="0.25">
      <c r="A369" s="64">
        <v>80870358</v>
      </c>
      <c r="B369" s="64" t="s">
        <v>368</v>
      </c>
      <c r="C369" s="65">
        <v>9</v>
      </c>
      <c r="D369" s="66">
        <v>2272.77</v>
      </c>
      <c r="E369" s="66"/>
      <c r="F369" s="66"/>
      <c r="G369" s="66">
        <v>1</v>
      </c>
      <c r="H369" s="66">
        <v>1</v>
      </c>
      <c r="I369" s="1">
        <f t="shared" si="7"/>
        <v>8</v>
      </c>
    </row>
    <row r="370" spans="1:9" x14ac:dyDescent="0.25">
      <c r="A370" s="64">
        <v>80869896</v>
      </c>
      <c r="B370" s="64" t="s">
        <v>369</v>
      </c>
      <c r="C370" s="65">
        <v>15</v>
      </c>
      <c r="D370" s="66">
        <v>743.24999999999989</v>
      </c>
      <c r="E370" s="66"/>
      <c r="F370" s="66"/>
      <c r="G370" s="66"/>
      <c r="H370" s="66"/>
      <c r="I370" s="1">
        <f t="shared" si="7"/>
        <v>15</v>
      </c>
    </row>
    <row r="371" spans="1:9" x14ac:dyDescent="0.25">
      <c r="A371" s="64">
        <v>83911635</v>
      </c>
      <c r="B371" s="64" t="s">
        <v>371</v>
      </c>
      <c r="C371" s="65">
        <v>212</v>
      </c>
      <c r="D371" s="66">
        <v>9548.48</v>
      </c>
      <c r="E371" s="66"/>
      <c r="F371" s="66"/>
      <c r="G371" s="66"/>
      <c r="H371" s="66"/>
      <c r="I371" s="1">
        <f t="shared" si="7"/>
        <v>212</v>
      </c>
    </row>
    <row r="372" spans="1:9" x14ac:dyDescent="0.25">
      <c r="A372" s="64">
        <v>83925440</v>
      </c>
      <c r="B372" s="64" t="s">
        <v>372</v>
      </c>
      <c r="C372" s="65">
        <v>28</v>
      </c>
      <c r="D372" s="66">
        <v>1008.84</v>
      </c>
      <c r="E372" s="66"/>
      <c r="F372" s="66"/>
      <c r="G372" s="66"/>
      <c r="H372" s="66"/>
      <c r="I372" s="1">
        <f t="shared" si="7"/>
        <v>28</v>
      </c>
    </row>
    <row r="373" spans="1:9" x14ac:dyDescent="0.25">
      <c r="A373" s="64">
        <v>83911783</v>
      </c>
      <c r="B373" s="64" t="s">
        <v>373</v>
      </c>
      <c r="C373" s="65">
        <v>16</v>
      </c>
      <c r="D373" s="66">
        <v>648.64</v>
      </c>
      <c r="E373" s="66"/>
      <c r="F373" s="66"/>
      <c r="G373" s="66"/>
      <c r="H373" s="66"/>
      <c r="I373" s="1">
        <f t="shared" si="7"/>
        <v>16</v>
      </c>
    </row>
    <row r="374" spans="1:9" x14ac:dyDescent="0.25">
      <c r="A374" s="64">
        <v>80870015</v>
      </c>
      <c r="B374" s="64" t="s">
        <v>375</v>
      </c>
      <c r="C374" s="65">
        <v>1</v>
      </c>
      <c r="D374" s="66">
        <v>153.5</v>
      </c>
      <c r="E374" s="66"/>
      <c r="F374" s="66"/>
      <c r="G374" s="66"/>
      <c r="H374" s="66"/>
      <c r="I374" s="1">
        <f t="shared" si="7"/>
        <v>1</v>
      </c>
    </row>
    <row r="375" spans="1:9" x14ac:dyDescent="0.25">
      <c r="A375" s="64">
        <v>80870357</v>
      </c>
      <c r="B375" s="64" t="s">
        <v>376</v>
      </c>
      <c r="C375" s="65">
        <v>13</v>
      </c>
      <c r="D375" s="66">
        <v>3020.16</v>
      </c>
      <c r="E375" s="66"/>
      <c r="F375" s="66"/>
      <c r="G375" s="66"/>
      <c r="H375" s="66"/>
      <c r="I375" s="1">
        <f t="shared" si="7"/>
        <v>13</v>
      </c>
    </row>
    <row r="376" spans="1:9" x14ac:dyDescent="0.25">
      <c r="A376" s="64">
        <v>83916746</v>
      </c>
      <c r="B376" s="64" t="s">
        <v>377</v>
      </c>
      <c r="C376" s="65">
        <v>15</v>
      </c>
      <c r="D376" s="66">
        <v>1513.1999999999998</v>
      </c>
      <c r="E376" s="66"/>
      <c r="F376" s="66"/>
      <c r="G376" s="66"/>
      <c r="H376" s="66"/>
      <c r="I376" s="1">
        <f t="shared" si="7"/>
        <v>15</v>
      </c>
    </row>
    <row r="377" spans="1:9" x14ac:dyDescent="0.25">
      <c r="A377" s="64">
        <v>80887674</v>
      </c>
      <c r="B377" s="64" t="s">
        <v>378</v>
      </c>
      <c r="C377" s="65">
        <v>2</v>
      </c>
      <c r="D377" s="66">
        <v>263.16000000000003</v>
      </c>
      <c r="E377" s="66"/>
      <c r="F377" s="66"/>
      <c r="G377" s="66"/>
      <c r="H377" s="66"/>
      <c r="I377" s="1">
        <f t="shared" si="7"/>
        <v>2</v>
      </c>
    </row>
    <row r="378" spans="1:9" x14ac:dyDescent="0.25">
      <c r="A378" s="64">
        <v>83914233</v>
      </c>
      <c r="B378" s="64" t="s">
        <v>379</v>
      </c>
      <c r="C378" s="65">
        <v>3</v>
      </c>
      <c r="D378" s="66">
        <v>216.24</v>
      </c>
      <c r="E378" s="66"/>
      <c r="F378" s="66"/>
      <c r="G378" s="66"/>
      <c r="H378" s="66"/>
      <c r="I378" s="1">
        <f t="shared" si="7"/>
        <v>3</v>
      </c>
    </row>
    <row r="379" spans="1:9" x14ac:dyDescent="0.25">
      <c r="A379" s="64">
        <v>80893410</v>
      </c>
      <c r="B379" s="64" t="s">
        <v>380</v>
      </c>
      <c r="C379" s="65">
        <v>6</v>
      </c>
      <c r="D379" s="66">
        <v>535.14</v>
      </c>
      <c r="E379" s="66"/>
      <c r="F379" s="66"/>
      <c r="G379" s="66"/>
      <c r="H379" s="66"/>
      <c r="I379" s="1">
        <f t="shared" si="7"/>
        <v>6</v>
      </c>
    </row>
    <row r="380" spans="1:9" x14ac:dyDescent="0.25">
      <c r="A380" s="64">
        <v>80896468</v>
      </c>
      <c r="B380" s="64" t="s">
        <v>311</v>
      </c>
      <c r="C380" s="65">
        <v>3</v>
      </c>
      <c r="D380" s="64">
        <v>148.80000000000001</v>
      </c>
      <c r="E380" s="66"/>
      <c r="F380" s="66"/>
      <c r="G380" s="66"/>
      <c r="H380" s="66"/>
      <c r="I380" s="1">
        <f t="shared" si="7"/>
        <v>3</v>
      </c>
    </row>
    <row r="381" spans="1:9" x14ac:dyDescent="0.25">
      <c r="A381" s="64">
        <v>80866723</v>
      </c>
      <c r="B381" s="64" t="s">
        <v>317</v>
      </c>
      <c r="C381" s="65">
        <v>17</v>
      </c>
      <c r="D381" s="64">
        <v>4401.6400000000003</v>
      </c>
      <c r="E381" s="66"/>
      <c r="F381" s="66"/>
      <c r="G381" s="66"/>
      <c r="H381" s="66"/>
      <c r="I381" s="1">
        <f t="shared" si="7"/>
        <v>17</v>
      </c>
    </row>
    <row r="382" spans="1:9" x14ac:dyDescent="0.25">
      <c r="A382" s="64">
        <v>80866729</v>
      </c>
      <c r="B382" s="64" t="s">
        <v>318</v>
      </c>
      <c r="C382" s="65">
        <v>47</v>
      </c>
      <c r="D382" s="64">
        <v>12169.240000000002</v>
      </c>
      <c r="E382" s="66"/>
      <c r="F382" s="66"/>
      <c r="G382" s="66"/>
      <c r="H382" s="66"/>
      <c r="I382" s="1">
        <f t="shared" si="7"/>
        <v>47</v>
      </c>
    </row>
    <row r="383" spans="1:9" x14ac:dyDescent="0.25">
      <c r="A383" s="64">
        <v>80864300</v>
      </c>
      <c r="B383" s="64" t="s">
        <v>321</v>
      </c>
      <c r="C383" s="65">
        <v>6</v>
      </c>
      <c r="D383" s="64">
        <v>519.29999999999995</v>
      </c>
      <c r="E383" s="66"/>
      <c r="F383" s="66"/>
      <c r="G383" s="66"/>
      <c r="H383" s="66"/>
      <c r="I383" s="1">
        <f t="shared" si="7"/>
        <v>6</v>
      </c>
    </row>
    <row r="384" spans="1:9" x14ac:dyDescent="0.25">
      <c r="A384" s="64">
        <v>80875513</v>
      </c>
      <c r="B384" s="64" t="s">
        <v>322</v>
      </c>
      <c r="C384" s="65">
        <v>2</v>
      </c>
      <c r="D384" s="64">
        <v>307</v>
      </c>
      <c r="E384" s="66"/>
      <c r="F384" s="66"/>
      <c r="G384" s="66"/>
      <c r="H384" s="66"/>
      <c r="I384" s="1">
        <f t="shared" si="7"/>
        <v>2</v>
      </c>
    </row>
    <row r="385" spans="1:9" x14ac:dyDescent="0.25">
      <c r="A385" s="64">
        <v>80840354</v>
      </c>
      <c r="B385" s="64" t="s">
        <v>323</v>
      </c>
      <c r="C385" s="65">
        <v>2</v>
      </c>
      <c r="D385" s="64">
        <v>657.9</v>
      </c>
      <c r="E385" s="66"/>
      <c r="F385" s="66"/>
      <c r="G385" s="66"/>
      <c r="H385" s="66"/>
      <c r="I385" s="1">
        <f t="shared" si="7"/>
        <v>2</v>
      </c>
    </row>
    <row r="386" spans="1:9" x14ac:dyDescent="0.25">
      <c r="A386" s="64">
        <v>80864297</v>
      </c>
      <c r="B386" s="64" t="s">
        <v>326</v>
      </c>
      <c r="C386" s="65">
        <v>18</v>
      </c>
      <c r="D386" s="64">
        <v>2763</v>
      </c>
      <c r="E386" s="66"/>
      <c r="F386" s="66"/>
      <c r="G386" s="66"/>
      <c r="H386" s="66"/>
      <c r="I386" s="1">
        <f t="shared" ref="I386:I449" si="8">C386-H386</f>
        <v>18</v>
      </c>
    </row>
    <row r="387" spans="1:9" x14ac:dyDescent="0.25">
      <c r="A387" s="64">
        <v>80832394</v>
      </c>
      <c r="B387" s="64" t="s">
        <v>331</v>
      </c>
      <c r="C387" s="65">
        <v>1</v>
      </c>
      <c r="D387" s="64">
        <v>372.8</v>
      </c>
      <c r="E387" s="66"/>
      <c r="F387" s="66"/>
      <c r="G387" s="66"/>
      <c r="H387" s="66"/>
      <c r="I387" s="1">
        <f t="shared" si="8"/>
        <v>1</v>
      </c>
    </row>
    <row r="388" spans="1:9" x14ac:dyDescent="0.25">
      <c r="A388" s="64">
        <v>83911270</v>
      </c>
      <c r="B388" s="64" t="s">
        <v>332</v>
      </c>
      <c r="C388" s="65">
        <v>9</v>
      </c>
      <c r="D388" s="64">
        <v>646.29</v>
      </c>
      <c r="E388" s="66"/>
      <c r="F388" s="66"/>
      <c r="G388" s="66"/>
      <c r="H388" s="66"/>
      <c r="I388" s="1">
        <f t="shared" si="8"/>
        <v>9</v>
      </c>
    </row>
    <row r="389" spans="1:9" x14ac:dyDescent="0.25">
      <c r="A389" s="64">
        <v>80892904</v>
      </c>
      <c r="B389" s="64" t="s">
        <v>333</v>
      </c>
      <c r="C389" s="65">
        <v>3</v>
      </c>
      <c r="D389" s="64">
        <v>215.43</v>
      </c>
      <c r="E389" s="66"/>
      <c r="F389" s="66"/>
      <c r="G389" s="66"/>
      <c r="H389" s="66"/>
      <c r="I389" s="1">
        <f t="shared" si="8"/>
        <v>3</v>
      </c>
    </row>
    <row r="390" spans="1:9" x14ac:dyDescent="0.25">
      <c r="A390" s="64">
        <v>83911280</v>
      </c>
      <c r="B390" s="64" t="s">
        <v>334</v>
      </c>
      <c r="C390" s="65">
        <v>3</v>
      </c>
      <c r="D390" s="64">
        <v>215.43</v>
      </c>
      <c r="E390" s="66"/>
      <c r="F390" s="66"/>
      <c r="G390" s="66"/>
      <c r="H390" s="66"/>
      <c r="I390" s="1">
        <f t="shared" si="8"/>
        <v>3</v>
      </c>
    </row>
    <row r="391" spans="1:9" x14ac:dyDescent="0.25">
      <c r="A391" s="64">
        <v>80880909</v>
      </c>
      <c r="B391" s="64" t="s">
        <v>335</v>
      </c>
      <c r="C391" s="65">
        <v>3</v>
      </c>
      <c r="D391" s="64">
        <v>231.81</v>
      </c>
      <c r="E391" s="66"/>
      <c r="F391" s="66"/>
      <c r="G391" s="66"/>
      <c r="H391" s="66"/>
      <c r="I391" s="1">
        <f t="shared" si="8"/>
        <v>3</v>
      </c>
    </row>
    <row r="392" spans="1:9" x14ac:dyDescent="0.25">
      <c r="A392" s="64">
        <v>83911281</v>
      </c>
      <c r="B392" s="64" t="s">
        <v>337</v>
      </c>
      <c r="C392" s="65">
        <v>9</v>
      </c>
      <c r="D392" s="64">
        <v>646.29</v>
      </c>
      <c r="E392" s="66"/>
      <c r="F392" s="66"/>
      <c r="G392" s="66"/>
      <c r="H392" s="66"/>
      <c r="I392" s="1">
        <f t="shared" si="8"/>
        <v>9</v>
      </c>
    </row>
    <row r="393" spans="1:9" x14ac:dyDescent="0.25">
      <c r="A393" s="64">
        <v>80878182</v>
      </c>
      <c r="B393" s="64" t="s">
        <v>338</v>
      </c>
      <c r="C393" s="65">
        <v>6</v>
      </c>
      <c r="D393" s="64">
        <v>568.68000000000006</v>
      </c>
      <c r="E393" s="66"/>
      <c r="F393" s="66"/>
      <c r="G393" s="66"/>
      <c r="H393" s="66"/>
      <c r="I393" s="1">
        <f t="shared" si="8"/>
        <v>6</v>
      </c>
    </row>
    <row r="394" spans="1:9" x14ac:dyDescent="0.25">
      <c r="A394" s="64">
        <v>83921920</v>
      </c>
      <c r="B394" s="64" t="s">
        <v>344</v>
      </c>
      <c r="C394" s="65">
        <v>2</v>
      </c>
      <c r="D394" s="64">
        <v>583.34</v>
      </c>
      <c r="E394" s="66"/>
      <c r="F394" s="66"/>
      <c r="G394" s="66"/>
      <c r="H394" s="66"/>
      <c r="I394" s="1">
        <f t="shared" si="8"/>
        <v>2</v>
      </c>
    </row>
    <row r="395" spans="1:9" x14ac:dyDescent="0.25">
      <c r="A395" s="64">
        <v>83921921</v>
      </c>
      <c r="B395" s="64" t="s">
        <v>346</v>
      </c>
      <c r="C395" s="65">
        <v>12</v>
      </c>
      <c r="D395" s="64">
        <v>3500.04</v>
      </c>
      <c r="E395" s="66"/>
      <c r="F395" s="66"/>
      <c r="G395" s="66"/>
      <c r="H395" s="66"/>
      <c r="I395" s="1">
        <f t="shared" si="8"/>
        <v>12</v>
      </c>
    </row>
    <row r="396" spans="1:9" x14ac:dyDescent="0.25">
      <c r="A396" s="64">
        <v>83918762</v>
      </c>
      <c r="B396" s="64" t="s">
        <v>347</v>
      </c>
      <c r="C396" s="65">
        <v>2</v>
      </c>
      <c r="D396" s="64">
        <v>1015</v>
      </c>
      <c r="E396" s="66"/>
      <c r="F396" s="66"/>
      <c r="G396" s="66"/>
      <c r="H396" s="66"/>
      <c r="I396" s="1">
        <f t="shared" si="8"/>
        <v>2</v>
      </c>
    </row>
    <row r="397" spans="1:9" x14ac:dyDescent="0.25">
      <c r="A397" s="64">
        <v>83921924</v>
      </c>
      <c r="B397" s="64" t="s">
        <v>348</v>
      </c>
      <c r="C397" s="65">
        <v>8</v>
      </c>
      <c r="D397" s="64">
        <v>2333.36</v>
      </c>
      <c r="E397" s="66"/>
      <c r="F397" s="70" t="s">
        <v>408</v>
      </c>
      <c r="G397" s="66"/>
      <c r="H397" s="66"/>
      <c r="I397" s="1">
        <f t="shared" si="8"/>
        <v>8</v>
      </c>
    </row>
    <row r="398" spans="1:9" x14ac:dyDescent="0.25">
      <c r="A398" s="64">
        <v>83921923</v>
      </c>
      <c r="B398" s="64" t="s">
        <v>349</v>
      </c>
      <c r="C398" s="65">
        <v>2</v>
      </c>
      <c r="D398" s="64">
        <v>583.34</v>
      </c>
      <c r="E398" s="66"/>
      <c r="F398" s="66"/>
      <c r="G398" s="66"/>
      <c r="H398" s="66"/>
      <c r="I398" s="1">
        <f t="shared" si="8"/>
        <v>2</v>
      </c>
    </row>
    <row r="399" spans="1:9" x14ac:dyDescent="0.25">
      <c r="A399" s="64">
        <v>80887692</v>
      </c>
      <c r="B399" s="64" t="s">
        <v>350</v>
      </c>
      <c r="C399" s="65">
        <v>4</v>
      </c>
      <c r="D399" s="64">
        <v>1217.3599999999999</v>
      </c>
      <c r="E399" s="66"/>
      <c r="F399" s="66"/>
      <c r="G399" s="66"/>
      <c r="H399" s="66"/>
      <c r="I399" s="1">
        <f t="shared" si="8"/>
        <v>4</v>
      </c>
    </row>
    <row r="400" spans="1:9" x14ac:dyDescent="0.25">
      <c r="A400" s="64">
        <v>80895503</v>
      </c>
      <c r="B400" s="64" t="s">
        <v>406</v>
      </c>
      <c r="C400" s="65">
        <v>3</v>
      </c>
      <c r="D400" s="64">
        <v>245.01</v>
      </c>
      <c r="E400" s="66"/>
      <c r="F400" s="66"/>
      <c r="G400" s="66"/>
      <c r="H400" s="66"/>
      <c r="I400" s="1">
        <f t="shared" si="8"/>
        <v>3</v>
      </c>
    </row>
    <row r="401" spans="1:9" x14ac:dyDescent="0.25">
      <c r="A401" s="64">
        <v>83912172</v>
      </c>
      <c r="B401" s="64" t="s">
        <v>353</v>
      </c>
      <c r="C401" s="65">
        <v>6</v>
      </c>
      <c r="D401" s="64">
        <v>465</v>
      </c>
      <c r="E401" s="66"/>
      <c r="F401" s="66"/>
      <c r="G401" s="66"/>
      <c r="H401" s="66"/>
      <c r="I401" s="1">
        <f t="shared" si="8"/>
        <v>6</v>
      </c>
    </row>
    <row r="402" spans="1:9" x14ac:dyDescent="0.25">
      <c r="A402" s="64">
        <v>83912164</v>
      </c>
      <c r="B402" s="64" t="s">
        <v>355</v>
      </c>
      <c r="C402" s="65">
        <v>21</v>
      </c>
      <c r="D402" s="64">
        <v>1715.07</v>
      </c>
      <c r="E402" s="66"/>
      <c r="F402" s="66"/>
      <c r="G402" s="66"/>
      <c r="H402" s="66"/>
      <c r="I402" s="1">
        <f t="shared" si="8"/>
        <v>21</v>
      </c>
    </row>
    <row r="403" spans="1:9" x14ac:dyDescent="0.25">
      <c r="A403" s="64">
        <v>83918758</v>
      </c>
      <c r="B403" s="64" t="s">
        <v>356</v>
      </c>
      <c r="C403" s="65">
        <v>3</v>
      </c>
      <c r="D403" s="64">
        <v>237.51</v>
      </c>
      <c r="E403" s="66"/>
      <c r="F403" s="66"/>
      <c r="G403" s="66"/>
      <c r="H403" s="66"/>
      <c r="I403" s="1">
        <f t="shared" si="8"/>
        <v>3</v>
      </c>
    </row>
    <row r="404" spans="1:9" x14ac:dyDescent="0.25">
      <c r="A404" s="64">
        <v>83918759</v>
      </c>
      <c r="B404" s="64" t="s">
        <v>357</v>
      </c>
      <c r="C404" s="65">
        <v>39</v>
      </c>
      <c r="D404" s="64">
        <v>3087.63</v>
      </c>
      <c r="E404" s="66"/>
      <c r="F404" s="66"/>
      <c r="G404" s="66"/>
      <c r="H404" s="66"/>
      <c r="I404" s="1">
        <f t="shared" si="8"/>
        <v>39</v>
      </c>
    </row>
    <row r="405" spans="1:9" x14ac:dyDescent="0.25">
      <c r="A405" s="64">
        <v>80895517</v>
      </c>
      <c r="B405" s="64" t="s">
        <v>358</v>
      </c>
      <c r="C405" s="65">
        <v>9</v>
      </c>
      <c r="D405" s="64">
        <v>877.5</v>
      </c>
      <c r="E405" s="66"/>
      <c r="F405" s="66"/>
      <c r="G405" s="66"/>
      <c r="H405" s="66"/>
      <c r="I405" s="1">
        <f t="shared" si="8"/>
        <v>9</v>
      </c>
    </row>
    <row r="406" spans="1:9" x14ac:dyDescent="0.25">
      <c r="A406" s="64">
        <v>83918765</v>
      </c>
      <c r="B406" s="64" t="s">
        <v>359</v>
      </c>
      <c r="C406" s="65">
        <v>38</v>
      </c>
      <c r="D406" s="64">
        <v>19285</v>
      </c>
      <c r="E406" s="66"/>
      <c r="F406" s="66"/>
      <c r="G406" s="66"/>
      <c r="H406" s="66"/>
      <c r="I406" s="1">
        <f t="shared" si="8"/>
        <v>38</v>
      </c>
    </row>
    <row r="407" spans="1:9" x14ac:dyDescent="0.25">
      <c r="A407" s="64">
        <v>83912166</v>
      </c>
      <c r="B407" s="64" t="s">
        <v>360</v>
      </c>
      <c r="C407" s="65">
        <v>3</v>
      </c>
      <c r="D407" s="64">
        <v>245.01</v>
      </c>
      <c r="E407" s="66"/>
      <c r="F407" s="66"/>
      <c r="G407" s="66"/>
      <c r="H407" s="66"/>
      <c r="I407" s="1">
        <f t="shared" si="8"/>
        <v>3</v>
      </c>
    </row>
    <row r="408" spans="1:9" x14ac:dyDescent="0.25">
      <c r="A408" s="64">
        <v>83933413</v>
      </c>
      <c r="B408" s="64" t="s">
        <v>361</v>
      </c>
      <c r="C408" s="65">
        <v>14</v>
      </c>
      <c r="D408" s="64">
        <v>4857.4399999999996</v>
      </c>
      <c r="E408" s="66"/>
      <c r="F408" s="66"/>
      <c r="G408" s="66"/>
      <c r="H408" s="66"/>
      <c r="I408" s="1">
        <f t="shared" si="8"/>
        <v>14</v>
      </c>
    </row>
    <row r="409" spans="1:9" x14ac:dyDescent="0.25">
      <c r="A409" s="64">
        <v>80879273</v>
      </c>
      <c r="B409" s="64" t="s">
        <v>362</v>
      </c>
      <c r="C409" s="65">
        <v>3</v>
      </c>
      <c r="D409" s="64">
        <v>225</v>
      </c>
      <c r="E409" s="66"/>
      <c r="F409" s="66"/>
      <c r="G409" s="66"/>
      <c r="H409" s="66"/>
      <c r="I409" s="1">
        <f t="shared" si="8"/>
        <v>3</v>
      </c>
    </row>
    <row r="410" spans="1:9" x14ac:dyDescent="0.25">
      <c r="A410" s="64">
        <v>80830097</v>
      </c>
      <c r="B410" s="64" t="s">
        <v>238</v>
      </c>
      <c r="C410" s="65">
        <v>1</v>
      </c>
      <c r="D410" s="64">
        <v>252.17</v>
      </c>
      <c r="E410" s="66"/>
      <c r="F410" s="66"/>
      <c r="G410" s="66"/>
      <c r="H410" s="66"/>
      <c r="I410" s="1">
        <f t="shared" si="8"/>
        <v>1</v>
      </c>
    </row>
    <row r="411" spans="1:9" x14ac:dyDescent="0.25">
      <c r="A411" s="64">
        <v>80870358</v>
      </c>
      <c r="B411" s="64" t="s">
        <v>368</v>
      </c>
      <c r="C411" s="65">
        <v>4</v>
      </c>
      <c r="D411" s="64">
        <v>1010.12</v>
      </c>
      <c r="E411" s="66"/>
      <c r="F411" s="66"/>
      <c r="G411" s="66"/>
      <c r="H411" s="66"/>
      <c r="I411" s="1">
        <f t="shared" si="8"/>
        <v>4</v>
      </c>
    </row>
    <row r="412" spans="1:9" x14ac:dyDescent="0.25">
      <c r="A412" s="64">
        <v>80869896</v>
      </c>
      <c r="B412" s="64" t="s">
        <v>369</v>
      </c>
      <c r="C412" s="65">
        <v>12</v>
      </c>
      <c r="D412" s="64">
        <v>594.59999999999991</v>
      </c>
      <c r="E412" s="66"/>
      <c r="F412" s="66"/>
      <c r="G412" s="66"/>
      <c r="H412" s="66"/>
      <c r="I412" s="1">
        <f t="shared" si="8"/>
        <v>12</v>
      </c>
    </row>
    <row r="413" spans="1:9" x14ac:dyDescent="0.25">
      <c r="A413" s="64">
        <v>83911635</v>
      </c>
      <c r="B413" s="64" t="s">
        <v>371</v>
      </c>
      <c r="C413" s="65">
        <v>44</v>
      </c>
      <c r="D413" s="64">
        <v>1981.76</v>
      </c>
      <c r="E413" s="66"/>
      <c r="F413" s="66"/>
      <c r="G413" s="66"/>
      <c r="H413" s="66"/>
      <c r="I413" s="1">
        <f t="shared" si="8"/>
        <v>44</v>
      </c>
    </row>
    <row r="414" spans="1:9" x14ac:dyDescent="0.25">
      <c r="A414" s="64">
        <v>83911777</v>
      </c>
      <c r="B414" s="64" t="s">
        <v>372</v>
      </c>
      <c r="C414" s="65">
        <v>8</v>
      </c>
      <c r="D414" s="64">
        <v>288.24</v>
      </c>
      <c r="E414" s="66"/>
      <c r="F414" s="66"/>
      <c r="G414" s="66"/>
      <c r="H414" s="66"/>
      <c r="I414" s="1">
        <f t="shared" si="8"/>
        <v>8</v>
      </c>
    </row>
    <row r="415" spans="1:9" x14ac:dyDescent="0.25">
      <c r="A415" s="64">
        <v>80870357</v>
      </c>
      <c r="B415" s="64" t="s">
        <v>376</v>
      </c>
      <c r="C415" s="65">
        <v>6</v>
      </c>
      <c r="D415" s="64">
        <v>1393.92</v>
      </c>
      <c r="E415" s="66"/>
      <c r="F415" s="66"/>
      <c r="G415" s="66"/>
      <c r="H415" s="66"/>
      <c r="I415" s="1">
        <f t="shared" si="8"/>
        <v>6</v>
      </c>
    </row>
    <row r="416" spans="1:9" x14ac:dyDescent="0.25">
      <c r="A416" s="64">
        <v>80887674</v>
      </c>
      <c r="B416" s="64" t="s">
        <v>378</v>
      </c>
      <c r="C416" s="65">
        <v>2</v>
      </c>
      <c r="D416" s="64">
        <v>263.16000000000003</v>
      </c>
      <c r="E416" s="66"/>
      <c r="F416" s="66"/>
      <c r="G416" s="66"/>
      <c r="H416" s="66"/>
      <c r="I416" s="1">
        <f t="shared" si="8"/>
        <v>2</v>
      </c>
    </row>
    <row r="417" spans="1:9" x14ac:dyDescent="0.25">
      <c r="A417" s="64">
        <v>83904003</v>
      </c>
      <c r="B417" s="64" t="s">
        <v>305</v>
      </c>
      <c r="C417" s="65">
        <v>8</v>
      </c>
      <c r="D417" s="64">
        <v>881.6</v>
      </c>
      <c r="E417" s="66"/>
      <c r="F417" s="66"/>
      <c r="G417" s="66"/>
      <c r="H417" s="66"/>
      <c r="I417" s="1">
        <f t="shared" si="8"/>
        <v>8</v>
      </c>
    </row>
    <row r="418" spans="1:9" x14ac:dyDescent="0.25">
      <c r="A418" s="64">
        <v>80866726</v>
      </c>
      <c r="B418" s="64" t="s">
        <v>307</v>
      </c>
      <c r="C418" s="65">
        <v>3</v>
      </c>
      <c r="D418" s="64">
        <v>254.49</v>
      </c>
      <c r="E418" s="66"/>
      <c r="F418" s="66"/>
      <c r="G418" s="66"/>
      <c r="H418" s="66"/>
      <c r="I418" s="1">
        <f t="shared" si="8"/>
        <v>3</v>
      </c>
    </row>
    <row r="419" spans="1:9" x14ac:dyDescent="0.25">
      <c r="A419" s="64">
        <v>80896468</v>
      </c>
      <c r="B419" s="64" t="s">
        <v>311</v>
      </c>
      <c r="C419" s="65">
        <v>3</v>
      </c>
      <c r="D419" s="64">
        <v>148.80000000000001</v>
      </c>
      <c r="E419" s="66"/>
      <c r="F419" s="66"/>
      <c r="G419" s="66"/>
      <c r="H419" s="66"/>
      <c r="I419" s="1">
        <f t="shared" si="8"/>
        <v>3</v>
      </c>
    </row>
    <row r="420" spans="1:9" x14ac:dyDescent="0.25">
      <c r="A420" s="64">
        <v>80866723</v>
      </c>
      <c r="B420" s="64" t="s">
        <v>317</v>
      </c>
      <c r="C420" s="65">
        <v>11</v>
      </c>
      <c r="D420" s="64">
        <v>2848.1200000000003</v>
      </c>
      <c r="E420" s="66"/>
      <c r="F420" s="66"/>
      <c r="G420" s="66"/>
      <c r="H420" s="66"/>
      <c r="I420" s="1">
        <f t="shared" si="8"/>
        <v>11</v>
      </c>
    </row>
    <row r="421" spans="1:9" x14ac:dyDescent="0.25">
      <c r="A421" s="64">
        <v>80866729</v>
      </c>
      <c r="B421" s="64" t="s">
        <v>318</v>
      </c>
      <c r="C421" s="65">
        <v>38</v>
      </c>
      <c r="D421" s="64">
        <v>9838.9600000000009</v>
      </c>
      <c r="E421" s="66"/>
      <c r="F421" s="66"/>
      <c r="G421" s="66"/>
      <c r="H421" s="66"/>
      <c r="I421" s="1">
        <f t="shared" si="8"/>
        <v>38</v>
      </c>
    </row>
    <row r="422" spans="1:9" x14ac:dyDescent="0.25">
      <c r="A422" s="64">
        <v>80864300</v>
      </c>
      <c r="B422" s="64" t="s">
        <v>321</v>
      </c>
      <c r="C422" s="65">
        <v>2</v>
      </c>
      <c r="D422" s="64">
        <v>173.1</v>
      </c>
      <c r="E422" s="66"/>
      <c r="F422" s="66"/>
      <c r="G422" s="66"/>
      <c r="H422" s="66"/>
      <c r="I422" s="1">
        <f t="shared" si="8"/>
        <v>2</v>
      </c>
    </row>
    <row r="423" spans="1:9" x14ac:dyDescent="0.25">
      <c r="A423" s="64">
        <v>80818346</v>
      </c>
      <c r="B423" s="64" t="s">
        <v>403</v>
      </c>
      <c r="C423" s="65">
        <v>1</v>
      </c>
      <c r="D423" s="64">
        <v>245.54</v>
      </c>
      <c r="E423" s="66"/>
      <c r="F423" s="66"/>
      <c r="G423" s="66"/>
      <c r="H423" s="66"/>
      <c r="I423" s="1">
        <f t="shared" si="8"/>
        <v>1</v>
      </c>
    </row>
    <row r="424" spans="1:9" x14ac:dyDescent="0.25">
      <c r="A424" s="64">
        <v>80875513</v>
      </c>
      <c r="B424" s="64" t="s">
        <v>322</v>
      </c>
      <c r="C424" s="65">
        <v>3</v>
      </c>
      <c r="D424" s="64">
        <v>460.5</v>
      </c>
      <c r="E424" s="66"/>
      <c r="F424" s="66"/>
      <c r="G424" s="66"/>
      <c r="H424" s="66"/>
      <c r="I424" s="1">
        <f t="shared" si="8"/>
        <v>3</v>
      </c>
    </row>
    <row r="425" spans="1:9" x14ac:dyDescent="0.25">
      <c r="A425" s="64">
        <v>80840352</v>
      </c>
      <c r="B425" s="64" t="s">
        <v>324</v>
      </c>
      <c r="C425" s="65">
        <v>1</v>
      </c>
      <c r="D425" s="64">
        <v>416.67</v>
      </c>
      <c r="E425" s="66"/>
      <c r="F425" s="66"/>
      <c r="G425" s="66"/>
      <c r="H425" s="66"/>
      <c r="I425" s="1">
        <f t="shared" si="8"/>
        <v>1</v>
      </c>
    </row>
    <row r="426" spans="1:9" x14ac:dyDescent="0.25">
      <c r="A426" s="64">
        <v>80864296</v>
      </c>
      <c r="B426" s="64" t="s">
        <v>325</v>
      </c>
      <c r="C426" s="65">
        <v>9</v>
      </c>
      <c r="D426" s="64">
        <v>781.64999999999986</v>
      </c>
      <c r="E426" s="66"/>
      <c r="F426" s="66"/>
      <c r="G426" s="66"/>
      <c r="H426" s="66"/>
      <c r="I426" s="1">
        <f t="shared" si="8"/>
        <v>9</v>
      </c>
    </row>
    <row r="427" spans="1:9" x14ac:dyDescent="0.25">
      <c r="A427" s="64">
        <v>80864297</v>
      </c>
      <c r="B427" s="64" t="s">
        <v>326</v>
      </c>
      <c r="C427" s="65">
        <v>50</v>
      </c>
      <c r="D427" s="64">
        <v>7675</v>
      </c>
      <c r="E427" s="66"/>
      <c r="F427" s="66"/>
      <c r="G427" s="66"/>
      <c r="H427" s="66"/>
      <c r="I427" s="1">
        <f t="shared" si="8"/>
        <v>50</v>
      </c>
    </row>
    <row r="428" spans="1:9" x14ac:dyDescent="0.25">
      <c r="A428" s="64">
        <v>80832398</v>
      </c>
      <c r="B428" s="64" t="s">
        <v>329</v>
      </c>
      <c r="C428" s="65">
        <v>3</v>
      </c>
      <c r="D428" s="64">
        <v>855.27</v>
      </c>
      <c r="E428" s="66"/>
      <c r="F428" s="66"/>
      <c r="G428" s="66"/>
      <c r="H428" s="66"/>
      <c r="I428" s="1">
        <f t="shared" si="8"/>
        <v>3</v>
      </c>
    </row>
    <row r="429" spans="1:9" x14ac:dyDescent="0.25">
      <c r="A429" s="64">
        <v>80892904</v>
      </c>
      <c r="B429" s="64" t="s">
        <v>333</v>
      </c>
      <c r="C429" s="65">
        <v>3</v>
      </c>
      <c r="D429" s="64">
        <v>215.43</v>
      </c>
      <c r="E429" s="66"/>
      <c r="F429" s="66"/>
      <c r="G429" s="66"/>
      <c r="H429" s="66"/>
      <c r="I429" s="1">
        <f t="shared" si="8"/>
        <v>3</v>
      </c>
    </row>
    <row r="430" spans="1:9" x14ac:dyDescent="0.25">
      <c r="A430" s="64">
        <v>83911276</v>
      </c>
      <c r="B430" s="64" t="s">
        <v>336</v>
      </c>
      <c r="C430" s="65">
        <v>3</v>
      </c>
      <c r="D430" s="64">
        <v>215.43</v>
      </c>
      <c r="E430" s="66"/>
      <c r="F430" s="66"/>
      <c r="G430" s="66"/>
      <c r="H430" s="66"/>
      <c r="I430" s="1">
        <f t="shared" si="8"/>
        <v>3</v>
      </c>
    </row>
    <row r="431" spans="1:9" x14ac:dyDescent="0.25">
      <c r="A431" s="64">
        <v>80895602</v>
      </c>
      <c r="B431" s="64" t="s">
        <v>341</v>
      </c>
      <c r="C431" s="65">
        <v>2</v>
      </c>
      <c r="D431" s="64">
        <v>83.34</v>
      </c>
      <c r="E431" s="66"/>
      <c r="F431" s="66"/>
      <c r="G431" s="66"/>
      <c r="H431" s="66"/>
      <c r="I431" s="1">
        <f t="shared" si="8"/>
        <v>2</v>
      </c>
    </row>
    <row r="432" spans="1:9" x14ac:dyDescent="0.25">
      <c r="A432" s="64">
        <v>83921920</v>
      </c>
      <c r="B432" s="64" t="s">
        <v>344</v>
      </c>
      <c r="C432" s="65">
        <v>1</v>
      </c>
      <c r="D432" s="64">
        <v>291.67</v>
      </c>
      <c r="E432" s="66"/>
      <c r="F432" s="66"/>
      <c r="G432" s="66"/>
      <c r="H432" s="66"/>
      <c r="I432" s="1">
        <f t="shared" si="8"/>
        <v>1</v>
      </c>
    </row>
    <row r="433" spans="1:9" x14ac:dyDescent="0.25">
      <c r="A433" s="64">
        <v>83924708</v>
      </c>
      <c r="B433" s="64" t="s">
        <v>345</v>
      </c>
      <c r="C433" s="65">
        <v>10</v>
      </c>
      <c r="D433" s="64">
        <v>4991.6000000000004</v>
      </c>
      <c r="E433" s="66"/>
      <c r="F433" s="66"/>
      <c r="G433" s="66"/>
      <c r="H433" s="66"/>
      <c r="I433" s="1">
        <f t="shared" si="8"/>
        <v>10</v>
      </c>
    </row>
    <row r="434" spans="1:9" x14ac:dyDescent="0.25">
      <c r="A434" s="64">
        <v>83921921</v>
      </c>
      <c r="B434" s="64" t="s">
        <v>346</v>
      </c>
      <c r="C434" s="65">
        <v>21</v>
      </c>
      <c r="D434" s="64">
        <v>6125.0700000000006</v>
      </c>
      <c r="E434" s="66"/>
      <c r="F434" s="66"/>
      <c r="G434" s="66"/>
      <c r="H434" s="66"/>
      <c r="I434" s="1">
        <f t="shared" si="8"/>
        <v>21</v>
      </c>
    </row>
    <row r="435" spans="1:9" x14ac:dyDescent="0.25">
      <c r="A435" s="64">
        <v>83918762</v>
      </c>
      <c r="B435" s="64" t="s">
        <v>347</v>
      </c>
      <c r="C435" s="65">
        <v>26</v>
      </c>
      <c r="D435" s="64">
        <v>13195</v>
      </c>
      <c r="E435" s="67" t="s">
        <v>320</v>
      </c>
      <c r="F435" s="66"/>
      <c r="G435" s="66">
        <v>2</v>
      </c>
      <c r="H435" s="66">
        <v>2</v>
      </c>
      <c r="I435" s="1">
        <f t="shared" si="8"/>
        <v>24</v>
      </c>
    </row>
    <row r="436" spans="1:9" x14ac:dyDescent="0.25">
      <c r="A436" s="64">
        <v>83921924</v>
      </c>
      <c r="B436" s="64" t="s">
        <v>348</v>
      </c>
      <c r="C436" s="65">
        <v>1</v>
      </c>
      <c r="D436" s="64">
        <v>291.67</v>
      </c>
      <c r="E436" s="66"/>
      <c r="F436" s="66"/>
      <c r="G436" s="66"/>
      <c r="H436" s="66"/>
      <c r="I436" s="1">
        <f t="shared" si="8"/>
        <v>1</v>
      </c>
    </row>
    <row r="437" spans="1:9" x14ac:dyDescent="0.25">
      <c r="A437" s="64">
        <v>83921923</v>
      </c>
      <c r="B437" s="64" t="s">
        <v>349</v>
      </c>
      <c r="C437" s="65">
        <v>5</v>
      </c>
      <c r="D437" s="64">
        <v>1458.3500000000001</v>
      </c>
      <c r="E437" s="66"/>
      <c r="F437" s="66"/>
      <c r="G437" s="66"/>
      <c r="H437" s="66"/>
      <c r="I437" s="1">
        <f t="shared" si="8"/>
        <v>5</v>
      </c>
    </row>
    <row r="438" spans="1:9" x14ac:dyDescent="0.25">
      <c r="A438" s="64">
        <v>80895500</v>
      </c>
      <c r="B438" s="64" t="s">
        <v>352</v>
      </c>
      <c r="C438" s="65">
        <v>3</v>
      </c>
      <c r="D438" s="64">
        <v>232.5</v>
      </c>
      <c r="E438" s="66"/>
      <c r="F438" s="66"/>
      <c r="G438" s="66"/>
      <c r="H438" s="66"/>
      <c r="I438" s="1">
        <f t="shared" si="8"/>
        <v>3</v>
      </c>
    </row>
    <row r="439" spans="1:9" x14ac:dyDescent="0.25">
      <c r="A439" s="64">
        <v>83912164</v>
      </c>
      <c r="B439" s="64" t="s">
        <v>355</v>
      </c>
      <c r="C439" s="65">
        <v>18</v>
      </c>
      <c r="D439" s="64">
        <v>1470.06</v>
      </c>
      <c r="E439" s="66"/>
      <c r="F439" s="66"/>
      <c r="G439" s="66"/>
      <c r="H439" s="66"/>
      <c r="I439" s="1">
        <f t="shared" si="8"/>
        <v>18</v>
      </c>
    </row>
    <row r="440" spans="1:9" x14ac:dyDescent="0.25">
      <c r="A440" s="64">
        <v>83918758</v>
      </c>
      <c r="B440" s="64" t="s">
        <v>356</v>
      </c>
      <c r="C440" s="65">
        <v>3</v>
      </c>
      <c r="D440" s="64">
        <v>237.51</v>
      </c>
      <c r="E440" s="66"/>
      <c r="F440" s="66"/>
      <c r="G440" s="66"/>
      <c r="H440" s="66"/>
      <c r="I440" s="1">
        <f t="shared" si="8"/>
        <v>3</v>
      </c>
    </row>
    <row r="441" spans="1:9" x14ac:dyDescent="0.25">
      <c r="A441" s="64">
        <v>83918759</v>
      </c>
      <c r="B441" s="64" t="s">
        <v>357</v>
      </c>
      <c r="C441" s="65">
        <v>60</v>
      </c>
      <c r="D441" s="64">
        <v>4750.2</v>
      </c>
      <c r="E441" s="66"/>
      <c r="F441" s="66"/>
      <c r="G441" s="66"/>
      <c r="H441" s="66"/>
      <c r="I441" s="1">
        <f t="shared" si="8"/>
        <v>60</v>
      </c>
    </row>
    <row r="442" spans="1:9" x14ac:dyDescent="0.25">
      <c r="A442" s="64">
        <v>80895517</v>
      </c>
      <c r="B442" s="64" t="s">
        <v>358</v>
      </c>
      <c r="C442" s="65">
        <v>18</v>
      </c>
      <c r="D442" s="64">
        <v>1755</v>
      </c>
      <c r="E442" s="66"/>
      <c r="F442" s="66"/>
      <c r="G442" s="66"/>
      <c r="H442" s="66"/>
      <c r="I442" s="1">
        <f t="shared" si="8"/>
        <v>18</v>
      </c>
    </row>
    <row r="443" spans="1:9" x14ac:dyDescent="0.25">
      <c r="A443" s="64">
        <v>83918765</v>
      </c>
      <c r="B443" s="64" t="s">
        <v>359</v>
      </c>
      <c r="C443" s="65">
        <v>43</v>
      </c>
      <c r="D443" s="64">
        <v>21822.5</v>
      </c>
      <c r="E443" s="66"/>
      <c r="F443" s="66"/>
      <c r="G443" s="66">
        <v>1</v>
      </c>
      <c r="H443" s="66">
        <v>1</v>
      </c>
      <c r="I443" s="1">
        <f t="shared" si="8"/>
        <v>42</v>
      </c>
    </row>
    <row r="444" spans="1:9" x14ac:dyDescent="0.25">
      <c r="A444" s="64">
        <v>83912166</v>
      </c>
      <c r="B444" s="64" t="s">
        <v>360</v>
      </c>
      <c r="C444" s="65">
        <v>18</v>
      </c>
      <c r="D444" s="64">
        <v>1470.06</v>
      </c>
      <c r="E444" s="66"/>
      <c r="F444" s="66"/>
      <c r="G444" s="66"/>
      <c r="H444" s="66"/>
      <c r="I444" s="1">
        <f t="shared" si="8"/>
        <v>18</v>
      </c>
    </row>
    <row r="445" spans="1:9" x14ac:dyDescent="0.25">
      <c r="A445" s="64">
        <v>83933413</v>
      </c>
      <c r="B445" s="64" t="s">
        <v>361</v>
      </c>
      <c r="C445" s="65">
        <v>8</v>
      </c>
      <c r="D445" s="64">
        <v>2775.68</v>
      </c>
      <c r="E445" s="66"/>
      <c r="F445" s="69" t="s">
        <v>409</v>
      </c>
      <c r="G445" s="66"/>
      <c r="H445" s="66"/>
      <c r="I445" s="1">
        <f t="shared" si="8"/>
        <v>8</v>
      </c>
    </row>
    <row r="446" spans="1:9" x14ac:dyDescent="0.25">
      <c r="A446" s="64">
        <v>80879273</v>
      </c>
      <c r="B446" s="64" t="s">
        <v>362</v>
      </c>
      <c r="C446" s="65">
        <v>6</v>
      </c>
      <c r="D446" s="64">
        <v>450</v>
      </c>
      <c r="E446" s="66"/>
      <c r="F446" s="66"/>
      <c r="G446" s="66"/>
      <c r="H446" s="66"/>
      <c r="I446" s="1">
        <f t="shared" si="8"/>
        <v>6</v>
      </c>
    </row>
    <row r="447" spans="1:9" x14ac:dyDescent="0.25">
      <c r="A447" s="64">
        <v>80870358</v>
      </c>
      <c r="B447" s="64" t="s">
        <v>368</v>
      </c>
      <c r="C447" s="65">
        <v>2</v>
      </c>
      <c r="D447" s="64">
        <v>505.06</v>
      </c>
      <c r="E447" s="66"/>
      <c r="F447" s="66"/>
      <c r="G447" s="66"/>
      <c r="H447" s="66"/>
      <c r="I447" s="1">
        <f t="shared" si="8"/>
        <v>2</v>
      </c>
    </row>
    <row r="448" spans="1:9" x14ac:dyDescent="0.25">
      <c r="A448" s="64">
        <v>80869896</v>
      </c>
      <c r="B448" s="64" t="s">
        <v>369</v>
      </c>
      <c r="C448" s="65">
        <v>6</v>
      </c>
      <c r="D448" s="64">
        <v>297.29999999999995</v>
      </c>
      <c r="E448" s="66"/>
      <c r="F448" s="66"/>
      <c r="G448" s="66"/>
      <c r="H448" s="66"/>
      <c r="I448" s="1">
        <f t="shared" si="8"/>
        <v>6</v>
      </c>
    </row>
    <row r="449" spans="1:9" x14ac:dyDescent="0.25">
      <c r="A449" s="64">
        <v>83911635</v>
      </c>
      <c r="B449" s="64" t="s">
        <v>371</v>
      </c>
      <c r="C449" s="65">
        <v>48</v>
      </c>
      <c r="D449" s="64">
        <v>2161.92</v>
      </c>
      <c r="E449" s="66"/>
      <c r="F449" s="66"/>
      <c r="G449" s="66"/>
      <c r="H449" s="66"/>
      <c r="I449" s="1">
        <f t="shared" si="8"/>
        <v>48</v>
      </c>
    </row>
    <row r="450" spans="1:9" x14ac:dyDescent="0.25">
      <c r="A450" s="64">
        <v>83925440</v>
      </c>
      <c r="B450" s="64" t="s">
        <v>372</v>
      </c>
      <c r="C450" s="65">
        <v>8</v>
      </c>
      <c r="D450" s="64">
        <v>288.24</v>
      </c>
      <c r="E450" s="66"/>
      <c r="F450" s="66"/>
      <c r="G450" s="66"/>
      <c r="H450" s="66"/>
      <c r="I450" s="1">
        <f t="shared" ref="I450:I453" si="9">C450-H450</f>
        <v>8</v>
      </c>
    </row>
    <row r="451" spans="1:9" x14ac:dyDescent="0.25">
      <c r="A451" s="64">
        <v>83911783</v>
      </c>
      <c r="B451" s="64" t="s">
        <v>373</v>
      </c>
      <c r="C451" s="65">
        <v>4</v>
      </c>
      <c r="D451" s="64">
        <v>162.16</v>
      </c>
      <c r="E451" s="66"/>
      <c r="F451" s="66"/>
      <c r="G451" s="66"/>
      <c r="H451" s="66"/>
      <c r="I451" s="1">
        <f t="shared" si="9"/>
        <v>4</v>
      </c>
    </row>
    <row r="452" spans="1:9" x14ac:dyDescent="0.25">
      <c r="A452" s="64">
        <v>80870357</v>
      </c>
      <c r="B452" s="64" t="s">
        <v>376</v>
      </c>
      <c r="C452" s="65">
        <v>7</v>
      </c>
      <c r="D452" s="64">
        <v>1626.24</v>
      </c>
      <c r="E452" s="66"/>
      <c r="F452" s="66"/>
      <c r="G452" s="66"/>
      <c r="H452" s="66"/>
      <c r="I452" s="1">
        <f t="shared" si="9"/>
        <v>7</v>
      </c>
    </row>
    <row r="453" spans="1:9" x14ac:dyDescent="0.25">
      <c r="A453" s="64">
        <v>80893410</v>
      </c>
      <c r="B453" s="64" t="s">
        <v>380</v>
      </c>
      <c r="C453" s="65">
        <v>6</v>
      </c>
      <c r="D453" s="64">
        <v>535.14</v>
      </c>
      <c r="E453" s="66"/>
      <c r="F453" s="66"/>
      <c r="G453" s="66"/>
      <c r="H453" s="66"/>
      <c r="I453" s="1">
        <f t="shared" si="9"/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E97"/>
  <sheetViews>
    <sheetView workbookViewId="0">
      <selection activeCell="E30" sqref="E30:E92"/>
    </sheetView>
  </sheetViews>
  <sheetFormatPr defaultRowHeight="15" x14ac:dyDescent="0.25"/>
  <cols>
    <col min="2" max="2" width="21" customWidth="1"/>
  </cols>
  <sheetData>
    <row r="1" spans="2:5" x14ac:dyDescent="0.25">
      <c r="B1" s="77" t="s">
        <v>414</v>
      </c>
      <c r="C1" s="77" t="s">
        <v>411</v>
      </c>
      <c r="D1" s="77" t="s">
        <v>412</v>
      </c>
      <c r="E1" s="77" t="s">
        <v>413</v>
      </c>
    </row>
    <row r="2" spans="2:5" hidden="1" x14ac:dyDescent="0.25">
      <c r="B2" s="8" t="s">
        <v>268</v>
      </c>
      <c r="C2" s="8">
        <v>6</v>
      </c>
      <c r="D2" s="8">
        <v>6</v>
      </c>
      <c r="E2" s="8">
        <f>C2-D2</f>
        <v>0</v>
      </c>
    </row>
    <row r="3" spans="2:5" hidden="1" x14ac:dyDescent="0.25">
      <c r="B3" s="8" t="s">
        <v>138</v>
      </c>
      <c r="C3" s="8">
        <v>2</v>
      </c>
      <c r="D3" s="8">
        <v>2</v>
      </c>
      <c r="E3" s="8">
        <f t="shared" ref="E3:E66" si="0">C3-D3</f>
        <v>0</v>
      </c>
    </row>
    <row r="4" spans="2:5" hidden="1" x14ac:dyDescent="0.25">
      <c r="B4" s="8" t="s">
        <v>122</v>
      </c>
      <c r="C4" s="8">
        <v>152</v>
      </c>
      <c r="D4" s="8">
        <v>152</v>
      </c>
      <c r="E4" s="8">
        <f t="shared" si="0"/>
        <v>0</v>
      </c>
    </row>
    <row r="5" spans="2:5" hidden="1" x14ac:dyDescent="0.25">
      <c r="B5" s="8" t="s">
        <v>148</v>
      </c>
      <c r="C5" s="8">
        <v>18</v>
      </c>
      <c r="D5" s="8">
        <v>18</v>
      </c>
      <c r="E5" s="8">
        <f t="shared" si="0"/>
        <v>0</v>
      </c>
    </row>
    <row r="6" spans="2:5" hidden="1" x14ac:dyDescent="0.25">
      <c r="B6" s="8" t="s">
        <v>248</v>
      </c>
      <c r="C6" s="8">
        <v>1</v>
      </c>
      <c r="D6" s="8">
        <v>1</v>
      </c>
      <c r="E6" s="8">
        <f t="shared" si="0"/>
        <v>0</v>
      </c>
    </row>
    <row r="7" spans="2:5" hidden="1" x14ac:dyDescent="0.25">
      <c r="B7" s="8" t="s">
        <v>250</v>
      </c>
      <c r="C7" s="8">
        <v>3</v>
      </c>
      <c r="D7" s="8">
        <v>3</v>
      </c>
      <c r="E7" s="8">
        <f t="shared" si="0"/>
        <v>0</v>
      </c>
    </row>
    <row r="8" spans="2:5" hidden="1" x14ac:dyDescent="0.25">
      <c r="B8" s="8" t="s">
        <v>120</v>
      </c>
      <c r="C8" s="8">
        <v>18</v>
      </c>
      <c r="D8" s="8">
        <v>18</v>
      </c>
      <c r="E8" s="8">
        <f t="shared" si="0"/>
        <v>0</v>
      </c>
    </row>
    <row r="9" spans="2:5" hidden="1" x14ac:dyDescent="0.25">
      <c r="B9" s="8" t="s">
        <v>152</v>
      </c>
      <c r="C9" s="8">
        <v>60</v>
      </c>
      <c r="D9" s="8">
        <v>60</v>
      </c>
      <c r="E9" s="8">
        <f t="shared" si="0"/>
        <v>0</v>
      </c>
    </row>
    <row r="10" spans="2:5" hidden="1" x14ac:dyDescent="0.25">
      <c r="B10" s="8" t="s">
        <v>124</v>
      </c>
      <c r="C10" s="8">
        <v>14</v>
      </c>
      <c r="D10" s="8">
        <v>14</v>
      </c>
      <c r="E10" s="8">
        <f t="shared" si="0"/>
        <v>0</v>
      </c>
    </row>
    <row r="11" spans="2:5" hidden="1" x14ac:dyDescent="0.25">
      <c r="B11" s="8" t="s">
        <v>126</v>
      </c>
      <c r="C11" s="8">
        <v>4</v>
      </c>
      <c r="D11" s="8">
        <v>4</v>
      </c>
      <c r="E11" s="8">
        <f t="shared" si="0"/>
        <v>0</v>
      </c>
    </row>
    <row r="12" spans="2:5" hidden="1" x14ac:dyDescent="0.25">
      <c r="B12" s="8" t="s">
        <v>150</v>
      </c>
      <c r="C12" s="8">
        <v>9</v>
      </c>
      <c r="D12" s="8">
        <v>9</v>
      </c>
      <c r="E12" s="8">
        <f t="shared" si="0"/>
        <v>0</v>
      </c>
    </row>
    <row r="13" spans="2:5" hidden="1" x14ac:dyDescent="0.25">
      <c r="B13" s="8" t="s">
        <v>270</v>
      </c>
      <c r="C13" s="8">
        <v>3</v>
      </c>
      <c r="D13" s="8">
        <v>3</v>
      </c>
      <c r="E13" s="8">
        <f t="shared" si="0"/>
        <v>0</v>
      </c>
    </row>
    <row r="14" spans="2:5" hidden="1" x14ac:dyDescent="0.25">
      <c r="B14" s="8" t="s">
        <v>266</v>
      </c>
      <c r="C14" s="8">
        <v>1</v>
      </c>
      <c r="D14" s="8">
        <v>1</v>
      </c>
      <c r="E14" s="8">
        <f t="shared" si="0"/>
        <v>0</v>
      </c>
    </row>
    <row r="15" spans="2:5" hidden="1" x14ac:dyDescent="0.25">
      <c r="B15" s="8" t="s">
        <v>142</v>
      </c>
      <c r="C15" s="8">
        <v>158</v>
      </c>
      <c r="D15" s="8">
        <v>158</v>
      </c>
      <c r="E15" s="8">
        <f t="shared" si="0"/>
        <v>0</v>
      </c>
    </row>
    <row r="16" spans="2:5" hidden="1" x14ac:dyDescent="0.25">
      <c r="B16" s="8" t="s">
        <v>140</v>
      </c>
      <c r="C16" s="8">
        <v>284</v>
      </c>
      <c r="D16" s="8">
        <v>284</v>
      </c>
      <c r="E16" s="8">
        <f t="shared" si="0"/>
        <v>0</v>
      </c>
    </row>
    <row r="17" spans="2:5" hidden="1" x14ac:dyDescent="0.25">
      <c r="B17" s="8" t="s">
        <v>130</v>
      </c>
      <c r="C17" s="8">
        <v>14</v>
      </c>
      <c r="D17" s="8">
        <v>14</v>
      </c>
      <c r="E17" s="8">
        <f t="shared" si="0"/>
        <v>0</v>
      </c>
    </row>
    <row r="18" spans="2:5" hidden="1" x14ac:dyDescent="0.25">
      <c r="B18" s="8" t="s">
        <v>128</v>
      </c>
      <c r="C18" s="8">
        <v>58</v>
      </c>
      <c r="D18" s="8">
        <v>58</v>
      </c>
      <c r="E18" s="8">
        <f t="shared" si="0"/>
        <v>0</v>
      </c>
    </row>
    <row r="19" spans="2:5" hidden="1" x14ac:dyDescent="0.25">
      <c r="B19" s="8" t="s">
        <v>110</v>
      </c>
      <c r="C19" s="8">
        <v>56</v>
      </c>
      <c r="D19" s="8">
        <v>56</v>
      </c>
      <c r="E19" s="8">
        <f t="shared" si="0"/>
        <v>0</v>
      </c>
    </row>
    <row r="20" spans="2:5" hidden="1" x14ac:dyDescent="0.25">
      <c r="B20" s="8" t="s">
        <v>114</v>
      </c>
      <c r="C20" s="8">
        <v>50</v>
      </c>
      <c r="D20" s="8">
        <v>50</v>
      </c>
      <c r="E20" s="8">
        <f t="shared" si="0"/>
        <v>0</v>
      </c>
    </row>
    <row r="21" spans="2:5" hidden="1" x14ac:dyDescent="0.25">
      <c r="B21" s="8" t="s">
        <v>105</v>
      </c>
      <c r="C21" s="8">
        <v>25</v>
      </c>
      <c r="D21" s="8">
        <v>25</v>
      </c>
      <c r="E21" s="8">
        <f t="shared" si="0"/>
        <v>0</v>
      </c>
    </row>
    <row r="22" spans="2:5" hidden="1" x14ac:dyDescent="0.25">
      <c r="B22" s="8" t="s">
        <v>103</v>
      </c>
      <c r="C22" s="8">
        <v>24</v>
      </c>
      <c r="D22" s="8">
        <v>24</v>
      </c>
      <c r="E22" s="8">
        <f t="shared" si="0"/>
        <v>0</v>
      </c>
    </row>
    <row r="23" spans="2:5" hidden="1" x14ac:dyDescent="0.25">
      <c r="B23" s="8" t="s">
        <v>112</v>
      </c>
      <c r="C23" s="8">
        <v>629</v>
      </c>
      <c r="D23" s="8">
        <v>629</v>
      </c>
      <c r="E23" s="8">
        <f t="shared" si="0"/>
        <v>0</v>
      </c>
    </row>
    <row r="24" spans="2:5" hidden="1" x14ac:dyDescent="0.25">
      <c r="B24" s="8" t="s">
        <v>108</v>
      </c>
      <c r="C24" s="8">
        <v>8</v>
      </c>
      <c r="D24" s="8">
        <v>8</v>
      </c>
      <c r="E24" s="8">
        <f t="shared" si="0"/>
        <v>0</v>
      </c>
    </row>
    <row r="25" spans="2:5" hidden="1" x14ac:dyDescent="0.25">
      <c r="B25" s="8" t="s">
        <v>116</v>
      </c>
      <c r="C25" s="8">
        <v>30</v>
      </c>
      <c r="D25" s="8">
        <v>30</v>
      </c>
      <c r="E25" s="8">
        <f t="shared" si="0"/>
        <v>0</v>
      </c>
    </row>
    <row r="26" spans="2:5" hidden="1" x14ac:dyDescent="0.25">
      <c r="B26" s="8" t="s">
        <v>118</v>
      </c>
      <c r="C26" s="8">
        <v>13</v>
      </c>
      <c r="D26" s="8">
        <v>13</v>
      </c>
      <c r="E26" s="8">
        <f t="shared" si="0"/>
        <v>0</v>
      </c>
    </row>
    <row r="27" spans="2:5" hidden="1" x14ac:dyDescent="0.25">
      <c r="B27" s="8" t="s">
        <v>223</v>
      </c>
      <c r="C27" s="8">
        <v>231</v>
      </c>
      <c r="D27" s="8">
        <v>231</v>
      </c>
      <c r="E27" s="8">
        <f t="shared" si="0"/>
        <v>0</v>
      </c>
    </row>
    <row r="28" spans="2:5" hidden="1" x14ac:dyDescent="0.25">
      <c r="B28" s="8" t="s">
        <v>227</v>
      </c>
      <c r="C28" s="8">
        <v>414</v>
      </c>
      <c r="D28" s="8">
        <v>414</v>
      </c>
      <c r="E28" s="8">
        <f t="shared" si="0"/>
        <v>0</v>
      </c>
    </row>
    <row r="29" spans="2:5" hidden="1" x14ac:dyDescent="0.25">
      <c r="B29" s="8" t="s">
        <v>229</v>
      </c>
      <c r="C29" s="8">
        <v>171</v>
      </c>
      <c r="D29" s="8">
        <v>171</v>
      </c>
      <c r="E29" s="8">
        <f t="shared" si="0"/>
        <v>0</v>
      </c>
    </row>
    <row r="30" spans="2:5" x14ac:dyDescent="0.25">
      <c r="B30" s="8" t="s">
        <v>219</v>
      </c>
      <c r="C30" s="8">
        <v>105</v>
      </c>
      <c r="D30" s="8">
        <v>96</v>
      </c>
      <c r="E30" s="78">
        <f t="shared" si="0"/>
        <v>9</v>
      </c>
    </row>
    <row r="31" spans="2:5" hidden="1" x14ac:dyDescent="0.25">
      <c r="B31" s="8" t="s">
        <v>221</v>
      </c>
      <c r="C31" s="8">
        <v>33</v>
      </c>
      <c r="D31" s="8">
        <v>33</v>
      </c>
      <c r="E31" s="8">
        <f t="shared" si="0"/>
        <v>0</v>
      </c>
    </row>
    <row r="32" spans="2:5" hidden="1" x14ac:dyDescent="0.25">
      <c r="B32" s="8" t="s">
        <v>225</v>
      </c>
      <c r="C32" s="8">
        <v>123</v>
      </c>
      <c r="D32" s="8">
        <v>123</v>
      </c>
      <c r="E32" s="8">
        <f t="shared" si="0"/>
        <v>0</v>
      </c>
    </row>
    <row r="33" spans="2:5" hidden="1" x14ac:dyDescent="0.25">
      <c r="B33" s="8" t="s">
        <v>258</v>
      </c>
      <c r="C33" s="8">
        <v>2</v>
      </c>
      <c r="D33" s="8">
        <v>2</v>
      </c>
      <c r="E33" s="8">
        <f t="shared" si="0"/>
        <v>0</v>
      </c>
    </row>
    <row r="34" spans="2:5" hidden="1" x14ac:dyDescent="0.25">
      <c r="B34" s="8" t="s">
        <v>239</v>
      </c>
      <c r="C34" s="8">
        <v>42</v>
      </c>
      <c r="D34" s="8">
        <v>42</v>
      </c>
      <c r="E34" s="8">
        <f t="shared" si="0"/>
        <v>0</v>
      </c>
    </row>
    <row r="35" spans="2:5" hidden="1" x14ac:dyDescent="0.25">
      <c r="B35" s="8" t="s">
        <v>286</v>
      </c>
      <c r="C35" s="8">
        <v>1</v>
      </c>
      <c r="D35" s="8">
        <v>1</v>
      </c>
      <c r="E35" s="8">
        <f t="shared" si="0"/>
        <v>0</v>
      </c>
    </row>
    <row r="36" spans="2:5" hidden="1" x14ac:dyDescent="0.25">
      <c r="B36" s="8" t="s">
        <v>134</v>
      </c>
      <c r="C36" s="8">
        <v>6</v>
      </c>
      <c r="D36" s="8">
        <v>6</v>
      </c>
      <c r="E36" s="8">
        <f t="shared" si="0"/>
        <v>0</v>
      </c>
    </row>
    <row r="37" spans="2:5" hidden="1" x14ac:dyDescent="0.25">
      <c r="B37" s="8" t="s">
        <v>262</v>
      </c>
      <c r="C37" s="8">
        <v>16</v>
      </c>
      <c r="D37" s="8">
        <v>16</v>
      </c>
      <c r="E37" s="8">
        <f t="shared" si="0"/>
        <v>0</v>
      </c>
    </row>
    <row r="38" spans="2:5" hidden="1" x14ac:dyDescent="0.25">
      <c r="B38" s="8" t="s">
        <v>256</v>
      </c>
      <c r="C38" s="8">
        <v>4</v>
      </c>
      <c r="D38" s="8">
        <v>4</v>
      </c>
      <c r="E38" s="8">
        <f t="shared" si="0"/>
        <v>0</v>
      </c>
    </row>
    <row r="39" spans="2:5" hidden="1" x14ac:dyDescent="0.25">
      <c r="B39" s="8" t="s">
        <v>187</v>
      </c>
      <c r="C39" s="8">
        <v>29</v>
      </c>
      <c r="D39" s="8">
        <v>29</v>
      </c>
      <c r="E39" s="8">
        <f t="shared" si="0"/>
        <v>0</v>
      </c>
    </row>
    <row r="40" spans="2:5" hidden="1" x14ac:dyDescent="0.25">
      <c r="B40" s="8" t="s">
        <v>209</v>
      </c>
      <c r="C40" s="8">
        <v>28</v>
      </c>
      <c r="D40" s="8">
        <v>28</v>
      </c>
      <c r="E40" s="8">
        <f t="shared" si="0"/>
        <v>0</v>
      </c>
    </row>
    <row r="41" spans="2:5" x14ac:dyDescent="0.25">
      <c r="B41" s="8" t="s">
        <v>189</v>
      </c>
      <c r="C41" s="8">
        <v>46</v>
      </c>
      <c r="D41" s="8">
        <v>45</v>
      </c>
      <c r="E41" s="78">
        <f t="shared" si="0"/>
        <v>1</v>
      </c>
    </row>
    <row r="42" spans="2:5" hidden="1" x14ac:dyDescent="0.25">
      <c r="B42" s="8" t="s">
        <v>211</v>
      </c>
      <c r="C42" s="8">
        <v>115</v>
      </c>
      <c r="D42" s="8">
        <v>115</v>
      </c>
      <c r="E42" s="8">
        <f t="shared" si="0"/>
        <v>0</v>
      </c>
    </row>
    <row r="43" spans="2:5" hidden="1" x14ac:dyDescent="0.25">
      <c r="B43" s="8" t="s">
        <v>191</v>
      </c>
      <c r="C43" s="8">
        <v>90</v>
      </c>
      <c r="D43" s="8">
        <v>90</v>
      </c>
      <c r="E43" s="8">
        <f t="shared" si="0"/>
        <v>0</v>
      </c>
    </row>
    <row r="44" spans="2:5" hidden="1" x14ac:dyDescent="0.25">
      <c r="B44" s="8" t="s">
        <v>213</v>
      </c>
      <c r="C44" s="8">
        <v>171</v>
      </c>
      <c r="D44" s="8">
        <v>171</v>
      </c>
      <c r="E44" s="8">
        <f t="shared" si="0"/>
        <v>0</v>
      </c>
    </row>
    <row r="45" spans="2:5" hidden="1" x14ac:dyDescent="0.25">
      <c r="B45" s="8" t="s">
        <v>215</v>
      </c>
      <c r="C45" s="8">
        <v>75</v>
      </c>
      <c r="D45" s="8">
        <v>75</v>
      </c>
      <c r="E45" s="8">
        <f t="shared" si="0"/>
        <v>0</v>
      </c>
    </row>
    <row r="46" spans="2:5" hidden="1" x14ac:dyDescent="0.25">
      <c r="B46" s="8" t="s">
        <v>217</v>
      </c>
      <c r="C46" s="8">
        <v>12</v>
      </c>
      <c r="D46" s="8">
        <v>12</v>
      </c>
      <c r="E46" s="8">
        <f t="shared" si="0"/>
        <v>0</v>
      </c>
    </row>
    <row r="47" spans="2:5" hidden="1" x14ac:dyDescent="0.25">
      <c r="B47" s="8" t="s">
        <v>293</v>
      </c>
      <c r="C47" s="8">
        <v>6</v>
      </c>
      <c r="D47" s="8">
        <v>6</v>
      </c>
      <c r="E47" s="8">
        <f t="shared" si="0"/>
        <v>0</v>
      </c>
    </row>
    <row r="48" spans="2:5" hidden="1" x14ac:dyDescent="0.25">
      <c r="B48" s="8" t="s">
        <v>205</v>
      </c>
      <c r="C48" s="8">
        <v>21</v>
      </c>
      <c r="D48" s="8">
        <v>21</v>
      </c>
      <c r="E48" s="8">
        <f t="shared" si="0"/>
        <v>0</v>
      </c>
    </row>
    <row r="49" spans="2:5" hidden="1" x14ac:dyDescent="0.25">
      <c r="B49" s="8" t="s">
        <v>207</v>
      </c>
      <c r="C49" s="8">
        <v>159</v>
      </c>
      <c r="D49" s="8">
        <v>159</v>
      </c>
      <c r="E49" s="8">
        <f t="shared" si="0"/>
        <v>0</v>
      </c>
    </row>
    <row r="50" spans="2:5" hidden="1" x14ac:dyDescent="0.25">
      <c r="B50" s="8" t="s">
        <v>295</v>
      </c>
      <c r="C50" s="8">
        <v>10</v>
      </c>
      <c r="D50" s="8">
        <v>10</v>
      </c>
      <c r="E50" s="8">
        <f t="shared" si="0"/>
        <v>0</v>
      </c>
    </row>
    <row r="51" spans="2:5" hidden="1" x14ac:dyDescent="0.25">
      <c r="B51" s="8" t="s">
        <v>195</v>
      </c>
      <c r="C51" s="8">
        <v>351</v>
      </c>
      <c r="D51" s="8">
        <v>351</v>
      </c>
      <c r="E51" s="8">
        <f t="shared" si="0"/>
        <v>0</v>
      </c>
    </row>
    <row r="52" spans="2:5" hidden="1" x14ac:dyDescent="0.25">
      <c r="B52" s="8" t="s">
        <v>199</v>
      </c>
      <c r="C52" s="8">
        <v>99</v>
      </c>
      <c r="D52" s="8">
        <v>99</v>
      </c>
      <c r="E52" s="8">
        <f t="shared" si="0"/>
        <v>0</v>
      </c>
    </row>
    <row r="53" spans="2:5" hidden="1" x14ac:dyDescent="0.25">
      <c r="B53" s="8" t="s">
        <v>201</v>
      </c>
      <c r="C53" s="8">
        <v>768</v>
      </c>
      <c r="D53" s="8">
        <v>768</v>
      </c>
      <c r="E53" s="8">
        <f t="shared" si="0"/>
        <v>0</v>
      </c>
    </row>
    <row r="54" spans="2:5" hidden="1" x14ac:dyDescent="0.25">
      <c r="B54" s="8" t="s">
        <v>203</v>
      </c>
      <c r="C54" s="8">
        <v>186</v>
      </c>
      <c r="D54" s="8">
        <v>186</v>
      </c>
      <c r="E54" s="8">
        <f t="shared" si="0"/>
        <v>0</v>
      </c>
    </row>
    <row r="55" spans="2:5" hidden="1" x14ac:dyDescent="0.25">
      <c r="B55" s="8" t="s">
        <v>193</v>
      </c>
      <c r="C55" s="8">
        <v>1206</v>
      </c>
      <c r="D55" s="8">
        <v>1206</v>
      </c>
      <c r="E55" s="8">
        <f t="shared" si="0"/>
        <v>0</v>
      </c>
    </row>
    <row r="56" spans="2:5" hidden="1" x14ac:dyDescent="0.25">
      <c r="B56" s="8" t="s">
        <v>197</v>
      </c>
      <c r="C56" s="8">
        <v>327</v>
      </c>
      <c r="D56" s="8">
        <v>327</v>
      </c>
      <c r="E56" s="8">
        <f t="shared" si="0"/>
        <v>0</v>
      </c>
    </row>
    <row r="57" spans="2:5" hidden="1" x14ac:dyDescent="0.25">
      <c r="B57" s="8" t="s">
        <v>185</v>
      </c>
      <c r="C57" s="8">
        <v>252</v>
      </c>
      <c r="D57" s="8">
        <v>252</v>
      </c>
      <c r="E57" s="8">
        <f t="shared" si="0"/>
        <v>0</v>
      </c>
    </row>
    <row r="58" spans="2:5" hidden="1" x14ac:dyDescent="0.25">
      <c r="B58" s="8" t="s">
        <v>233</v>
      </c>
      <c r="C58" s="8">
        <v>120</v>
      </c>
      <c r="D58" s="8">
        <v>120</v>
      </c>
      <c r="E58" s="8">
        <f t="shared" si="0"/>
        <v>0</v>
      </c>
    </row>
    <row r="59" spans="2:5" hidden="1" x14ac:dyDescent="0.25">
      <c r="B59" s="8" t="s">
        <v>231</v>
      </c>
      <c r="C59" s="8">
        <v>24</v>
      </c>
      <c r="D59" s="8">
        <v>24</v>
      </c>
      <c r="E59" s="8">
        <f t="shared" si="0"/>
        <v>0</v>
      </c>
    </row>
    <row r="60" spans="2:5" hidden="1" x14ac:dyDescent="0.25">
      <c r="B60" s="8" t="s">
        <v>298</v>
      </c>
      <c r="C60" s="8">
        <v>3</v>
      </c>
      <c r="D60" s="8">
        <v>3</v>
      </c>
      <c r="E60" s="8">
        <f t="shared" si="0"/>
        <v>0</v>
      </c>
    </row>
    <row r="61" spans="2:5" hidden="1" x14ac:dyDescent="0.25">
      <c r="B61" s="8" t="s">
        <v>300</v>
      </c>
      <c r="C61" s="8">
        <v>1</v>
      </c>
      <c r="D61" s="8">
        <v>1</v>
      </c>
      <c r="E61" s="8">
        <f t="shared" si="0"/>
        <v>0</v>
      </c>
    </row>
    <row r="62" spans="2:5" hidden="1" x14ac:dyDescent="0.25">
      <c r="B62" s="8" t="s">
        <v>177</v>
      </c>
      <c r="C62" s="8">
        <v>4</v>
      </c>
      <c r="D62" s="8">
        <v>4</v>
      </c>
      <c r="E62" s="8">
        <f t="shared" si="0"/>
        <v>0</v>
      </c>
    </row>
    <row r="63" spans="2:5" hidden="1" x14ac:dyDescent="0.25">
      <c r="B63" s="8" t="s">
        <v>280</v>
      </c>
      <c r="C63" s="8">
        <v>6</v>
      </c>
      <c r="D63" s="8">
        <v>6</v>
      </c>
      <c r="E63" s="8">
        <f t="shared" si="0"/>
        <v>0</v>
      </c>
    </row>
    <row r="64" spans="2:5" hidden="1" x14ac:dyDescent="0.25">
      <c r="B64" s="8" t="s">
        <v>278</v>
      </c>
      <c r="C64" s="8">
        <v>1</v>
      </c>
      <c r="D64" s="8">
        <v>1</v>
      </c>
      <c r="E64" s="8">
        <f t="shared" si="0"/>
        <v>0</v>
      </c>
    </row>
    <row r="65" spans="2:5" hidden="1" x14ac:dyDescent="0.25">
      <c r="B65" s="8" t="s">
        <v>163</v>
      </c>
      <c r="C65" s="8">
        <v>81</v>
      </c>
      <c r="D65" s="8">
        <v>81</v>
      </c>
      <c r="E65" s="8">
        <f t="shared" si="0"/>
        <v>0</v>
      </c>
    </row>
    <row r="66" spans="2:5" hidden="1" x14ac:dyDescent="0.25">
      <c r="B66" s="8" t="s">
        <v>154</v>
      </c>
      <c r="C66" s="8">
        <v>450</v>
      </c>
      <c r="D66" s="8">
        <v>450</v>
      </c>
      <c r="E66" s="8">
        <f t="shared" si="0"/>
        <v>0</v>
      </c>
    </row>
    <row r="67" spans="2:5" hidden="1" x14ac:dyDescent="0.25">
      <c r="B67" s="8" t="s">
        <v>159</v>
      </c>
      <c r="C67" s="8">
        <v>2584</v>
      </c>
      <c r="D67" s="8">
        <v>2584</v>
      </c>
      <c r="E67" s="8">
        <f t="shared" ref="E67:E97" si="1">C67-D67</f>
        <v>0</v>
      </c>
    </row>
    <row r="68" spans="2:5" x14ac:dyDescent="0.25">
      <c r="B68" s="8" t="s">
        <v>156</v>
      </c>
      <c r="C68" s="8">
        <v>248</v>
      </c>
      <c r="D68" s="8">
        <v>220</v>
      </c>
      <c r="E68" s="78">
        <f t="shared" si="1"/>
        <v>28</v>
      </c>
    </row>
    <row r="69" spans="2:5" hidden="1" x14ac:dyDescent="0.25">
      <c r="B69" s="8" t="s">
        <v>161</v>
      </c>
      <c r="C69" s="8">
        <v>200</v>
      </c>
      <c r="D69" s="8">
        <v>200</v>
      </c>
      <c r="E69" s="8">
        <f t="shared" si="1"/>
        <v>0</v>
      </c>
    </row>
    <row r="70" spans="2:5" hidden="1" x14ac:dyDescent="0.25">
      <c r="B70" s="8" t="s">
        <v>171</v>
      </c>
      <c r="C70" s="8">
        <v>11</v>
      </c>
      <c r="D70" s="8">
        <v>11</v>
      </c>
      <c r="E70" s="8">
        <f t="shared" si="1"/>
        <v>0</v>
      </c>
    </row>
    <row r="71" spans="2:5" hidden="1" x14ac:dyDescent="0.25">
      <c r="B71" s="8" t="s">
        <v>272</v>
      </c>
      <c r="C71" s="8">
        <v>3</v>
      </c>
      <c r="D71" s="8">
        <v>3</v>
      </c>
      <c r="E71" s="8">
        <f t="shared" si="1"/>
        <v>0</v>
      </c>
    </row>
    <row r="72" spans="2:5" hidden="1" x14ac:dyDescent="0.25">
      <c r="B72" s="8" t="s">
        <v>165</v>
      </c>
      <c r="C72" s="8">
        <v>178</v>
      </c>
      <c r="D72" s="8">
        <v>178</v>
      </c>
      <c r="E72" s="8">
        <f t="shared" si="1"/>
        <v>0</v>
      </c>
    </row>
    <row r="73" spans="2:5" hidden="1" x14ac:dyDescent="0.25">
      <c r="B73" s="8" t="s">
        <v>175</v>
      </c>
      <c r="C73" s="8">
        <v>57</v>
      </c>
      <c r="D73" s="8">
        <v>57</v>
      </c>
      <c r="E73" s="8">
        <f t="shared" si="1"/>
        <v>0</v>
      </c>
    </row>
    <row r="74" spans="2:5" hidden="1" x14ac:dyDescent="0.25">
      <c r="B74" s="8" t="s">
        <v>169</v>
      </c>
      <c r="C74" s="8">
        <v>24</v>
      </c>
      <c r="D74" s="8">
        <v>24</v>
      </c>
      <c r="E74" s="8">
        <f t="shared" si="1"/>
        <v>0</v>
      </c>
    </row>
    <row r="75" spans="2:5" hidden="1" x14ac:dyDescent="0.25">
      <c r="B75" s="8" t="s">
        <v>274</v>
      </c>
      <c r="C75" s="8">
        <v>18</v>
      </c>
      <c r="D75" s="8">
        <v>18</v>
      </c>
      <c r="E75" s="8">
        <f t="shared" si="1"/>
        <v>0</v>
      </c>
    </row>
    <row r="76" spans="2:5" hidden="1" x14ac:dyDescent="0.25">
      <c r="B76" s="8" t="s">
        <v>173</v>
      </c>
      <c r="C76" s="8">
        <v>99</v>
      </c>
      <c r="D76" s="8">
        <v>99</v>
      </c>
      <c r="E76" s="8">
        <f t="shared" si="1"/>
        <v>0</v>
      </c>
    </row>
    <row r="77" spans="2:5" hidden="1" x14ac:dyDescent="0.25">
      <c r="B77" s="8" t="s">
        <v>144</v>
      </c>
      <c r="C77" s="8">
        <v>5</v>
      </c>
      <c r="D77" s="8">
        <v>5</v>
      </c>
      <c r="E77" s="8">
        <f t="shared" si="1"/>
        <v>0</v>
      </c>
    </row>
    <row r="78" spans="2:5" hidden="1" x14ac:dyDescent="0.25">
      <c r="B78" s="8" t="s">
        <v>146</v>
      </c>
      <c r="C78" s="8">
        <v>5</v>
      </c>
      <c r="D78" s="8">
        <v>5</v>
      </c>
      <c r="E78" s="8">
        <f t="shared" si="1"/>
        <v>0</v>
      </c>
    </row>
    <row r="79" spans="2:5" hidden="1" x14ac:dyDescent="0.25">
      <c r="B79" s="8" t="s">
        <v>132</v>
      </c>
      <c r="C79" s="8">
        <v>5</v>
      </c>
      <c r="D79" s="8">
        <v>5</v>
      </c>
      <c r="E79" s="8">
        <f t="shared" si="1"/>
        <v>0</v>
      </c>
    </row>
    <row r="80" spans="2:5" hidden="1" x14ac:dyDescent="0.25">
      <c r="B80" s="8" t="s">
        <v>181</v>
      </c>
      <c r="C80" s="8">
        <v>6</v>
      </c>
      <c r="D80" s="8">
        <v>6</v>
      </c>
      <c r="E80" s="8">
        <f t="shared" si="1"/>
        <v>0</v>
      </c>
    </row>
    <row r="81" spans="2:5" hidden="1" x14ac:dyDescent="0.25">
      <c r="B81" s="8" t="s">
        <v>136</v>
      </c>
      <c r="C81" s="8">
        <v>1</v>
      </c>
      <c r="D81" s="8">
        <v>1</v>
      </c>
      <c r="E81" s="8">
        <f t="shared" si="1"/>
        <v>0</v>
      </c>
    </row>
    <row r="82" spans="2:5" hidden="1" x14ac:dyDescent="0.25">
      <c r="B82" s="8" t="s">
        <v>235</v>
      </c>
      <c r="C82" s="8">
        <v>2</v>
      </c>
      <c r="D82" s="8">
        <v>2</v>
      </c>
      <c r="E82" s="8">
        <f t="shared" si="1"/>
        <v>0</v>
      </c>
    </row>
    <row r="83" spans="2:5" hidden="1" x14ac:dyDescent="0.25">
      <c r="B83" s="8" t="s">
        <v>179</v>
      </c>
      <c r="C83" s="8">
        <v>8</v>
      </c>
      <c r="D83" s="8">
        <v>8</v>
      </c>
      <c r="E83" s="8">
        <f t="shared" si="1"/>
        <v>0</v>
      </c>
    </row>
    <row r="84" spans="2:5" hidden="1" x14ac:dyDescent="0.25">
      <c r="B84" s="8" t="s">
        <v>183</v>
      </c>
      <c r="C84" s="8">
        <v>1</v>
      </c>
      <c r="D84" s="8">
        <v>1</v>
      </c>
      <c r="E84" s="8">
        <f t="shared" si="1"/>
        <v>0</v>
      </c>
    </row>
    <row r="85" spans="2:5" hidden="1" x14ac:dyDescent="0.25">
      <c r="B85" s="8" t="s">
        <v>237</v>
      </c>
      <c r="C85" s="8">
        <v>5</v>
      </c>
      <c r="D85" s="8">
        <v>5</v>
      </c>
      <c r="E85" s="8">
        <f t="shared" si="1"/>
        <v>0</v>
      </c>
    </row>
    <row r="86" spans="2:5" hidden="1" x14ac:dyDescent="0.25">
      <c r="B86" s="8" t="s">
        <v>167</v>
      </c>
      <c r="C86" s="8">
        <v>2</v>
      </c>
      <c r="D86" s="8">
        <v>2</v>
      </c>
      <c r="E86" s="8">
        <f t="shared" si="1"/>
        <v>0</v>
      </c>
    </row>
    <row r="87" spans="2:5" hidden="1" x14ac:dyDescent="0.25">
      <c r="B87" s="8" t="s">
        <v>264</v>
      </c>
      <c r="C87" s="8">
        <v>1</v>
      </c>
      <c r="D87" s="8">
        <v>1</v>
      </c>
      <c r="E87" s="8">
        <f t="shared" si="1"/>
        <v>0</v>
      </c>
    </row>
    <row r="88" spans="2:5" hidden="1" x14ac:dyDescent="0.25">
      <c r="B88" s="8" t="s">
        <v>252</v>
      </c>
      <c r="C88" s="8">
        <v>2</v>
      </c>
      <c r="D88" s="8">
        <v>2</v>
      </c>
      <c r="E88" s="8">
        <f t="shared" si="1"/>
        <v>0</v>
      </c>
    </row>
    <row r="89" spans="2:5" x14ac:dyDescent="0.25">
      <c r="B89" s="8" t="s">
        <v>398</v>
      </c>
      <c r="C89" s="8">
        <v>2</v>
      </c>
      <c r="D89" s="8">
        <v>0</v>
      </c>
      <c r="E89" s="78">
        <f t="shared" si="1"/>
        <v>2</v>
      </c>
    </row>
    <row r="90" spans="2:5" hidden="1" x14ac:dyDescent="0.25">
      <c r="B90" s="8" t="s">
        <v>284</v>
      </c>
      <c r="C90" s="8">
        <v>2</v>
      </c>
      <c r="D90" s="8">
        <v>2</v>
      </c>
      <c r="E90" s="8">
        <f t="shared" si="1"/>
        <v>0</v>
      </c>
    </row>
    <row r="91" spans="2:5" hidden="1" x14ac:dyDescent="0.25">
      <c r="B91" s="8" t="s">
        <v>282</v>
      </c>
      <c r="C91" s="8">
        <v>1</v>
      </c>
      <c r="D91" s="8">
        <v>1</v>
      </c>
      <c r="E91" s="8">
        <f t="shared" si="1"/>
        <v>0</v>
      </c>
    </row>
    <row r="92" spans="2:5" x14ac:dyDescent="0.25">
      <c r="B92" s="8" t="s">
        <v>402</v>
      </c>
      <c r="C92" s="8">
        <v>3</v>
      </c>
      <c r="D92" s="8">
        <v>0</v>
      </c>
      <c r="E92" s="78">
        <f t="shared" si="1"/>
        <v>3</v>
      </c>
    </row>
    <row r="93" spans="2:5" hidden="1" x14ac:dyDescent="0.25">
      <c r="B93" s="8" t="s">
        <v>254</v>
      </c>
      <c r="C93" s="8">
        <v>3</v>
      </c>
      <c r="D93" s="8">
        <v>3</v>
      </c>
      <c r="E93" s="8">
        <f t="shared" si="1"/>
        <v>0</v>
      </c>
    </row>
    <row r="94" spans="2:5" hidden="1" x14ac:dyDescent="0.25">
      <c r="B94" s="8" t="s">
        <v>260</v>
      </c>
      <c r="C94" s="8">
        <v>2</v>
      </c>
      <c r="D94" s="8">
        <v>2</v>
      </c>
      <c r="E94" s="8">
        <f t="shared" si="1"/>
        <v>0</v>
      </c>
    </row>
    <row r="95" spans="2:5" hidden="1" x14ac:dyDescent="0.25">
      <c r="B95" s="8" t="s">
        <v>288</v>
      </c>
      <c r="C95" s="8">
        <v>2</v>
      </c>
      <c r="D95" s="8">
        <v>2</v>
      </c>
      <c r="E95" s="8">
        <f t="shared" si="1"/>
        <v>0</v>
      </c>
    </row>
    <row r="96" spans="2:5" hidden="1" x14ac:dyDescent="0.25">
      <c r="B96" s="8" t="s">
        <v>291</v>
      </c>
      <c r="C96" s="8">
        <v>6</v>
      </c>
      <c r="D96" s="8">
        <v>6</v>
      </c>
      <c r="E96" s="8">
        <f t="shared" si="1"/>
        <v>0</v>
      </c>
    </row>
    <row r="97" spans="2:5" hidden="1" x14ac:dyDescent="0.25">
      <c r="B97" s="8" t="s">
        <v>276</v>
      </c>
      <c r="C97" s="8">
        <v>9</v>
      </c>
      <c r="D97" s="8">
        <v>9</v>
      </c>
      <c r="E97" s="8">
        <f t="shared" si="1"/>
        <v>0</v>
      </c>
    </row>
  </sheetData>
  <autoFilter ref="B1:E97">
    <filterColumn colId="3">
      <filters>
        <filter val="1"/>
        <filter val="2"/>
        <filter val="28"/>
        <filter val="3"/>
        <filter val="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REPORT_AUG</vt:lpstr>
      <vt:lpstr>PSR</vt:lpstr>
      <vt:lpstr>Sheet3</vt:lpstr>
      <vt:lpstr>Sheet4</vt:lpstr>
      <vt:lpstr>11-12_AUG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2026-08-18T10:09:50Z</dcterms:created>
  <dcterms:modified xsi:type="dcterms:W3CDTF">2026-08-19T13:04:51Z</dcterms:modified>
</cp:coreProperties>
</file>